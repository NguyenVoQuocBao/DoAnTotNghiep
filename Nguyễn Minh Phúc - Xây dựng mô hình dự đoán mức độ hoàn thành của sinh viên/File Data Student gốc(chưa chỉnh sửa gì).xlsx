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s" sheetId="1" r:id="rId5"/>
    <sheet state="visible" name="F_DangKiGiaoVien" sheetId="2" r:id="rId6"/>
    <sheet state="visible" name="Tracking" sheetId="3" r:id="rId7"/>
    <sheet state="visible" name="ThongKe" sheetId="4" r:id="rId8"/>
  </sheets>
  <definedNames>
    <definedName hidden="1" localSheetId="1" name="_xlnm._FilterDatabase">F_DangKiGiaoVien!$A$1:$Q$232</definedName>
    <definedName hidden="1" localSheetId="2" name="_xlnm._FilterDatabase">Tracking!$I$1:$I$999</definedName>
  </definedNames>
  <calcPr/>
  <pivotCaches>
    <pivotCache cacheId="0" r:id="rId9"/>
  </pivotCaches>
</workbook>
</file>

<file path=xl/sharedStrings.xml><?xml version="1.0" encoding="utf-8"?>
<sst xmlns="http://schemas.openxmlformats.org/spreadsheetml/2006/main" count="1164" uniqueCount="424">
  <si>
    <t>STT</t>
  </si>
  <si>
    <t>StudentID</t>
  </si>
  <si>
    <t>LopID</t>
  </si>
  <si>
    <t>HoSV</t>
  </si>
  <si>
    <t>TenSV</t>
  </si>
  <si>
    <t>Phai</t>
  </si>
  <si>
    <t>NgaySinh</t>
  </si>
  <si>
    <t>SoDienThoai</t>
  </si>
  <si>
    <t>CMND</t>
  </si>
  <si>
    <t>22CT111</t>
  </si>
  <si>
    <t>Nguyễn Hoàng</t>
  </si>
  <si>
    <t>Quốc</t>
  </si>
  <si>
    <t>Nam</t>
  </si>
  <si>
    <t>Mai Trung Hoài</t>
  </si>
  <si>
    <t>Phong</t>
  </si>
  <si>
    <t>16/10/2004</t>
  </si>
  <si>
    <t>Diệp Thị Mỹ</t>
  </si>
  <si>
    <t>Hằng</t>
  </si>
  <si>
    <t>Nữ</t>
  </si>
  <si>
    <t>19/12/2003</t>
  </si>
  <si>
    <t>Nguyễn Trung</t>
  </si>
  <si>
    <t>Nghĩa</t>
  </si>
  <si>
    <t>23/11/2004</t>
  </si>
  <si>
    <t>Trương Quốc</t>
  </si>
  <si>
    <t>Hòa</t>
  </si>
  <si>
    <t>28/08/2004</t>
  </si>
  <si>
    <t>Phạm Anh</t>
  </si>
  <si>
    <t>Đức</t>
  </si>
  <si>
    <t>30/04/2004</t>
  </si>
  <si>
    <t>Lê Tuấn</t>
  </si>
  <si>
    <t>Anh</t>
  </si>
  <si>
    <t>Trương Nguyên</t>
  </si>
  <si>
    <t>Giáp</t>
  </si>
  <si>
    <t>Hà Vũ</t>
  </si>
  <si>
    <t>Khải</t>
  </si>
  <si>
    <t>23/10/2004</t>
  </si>
  <si>
    <t>Ngô Minh</t>
  </si>
  <si>
    <t>Quân</t>
  </si>
  <si>
    <t>19/11/2004</t>
  </si>
  <si>
    <t>Lê Anh</t>
  </si>
  <si>
    <t>Khôi</t>
  </si>
  <si>
    <t>Vũ Tiến</t>
  </si>
  <si>
    <t>24/08/2004</t>
  </si>
  <si>
    <t>Trần Mạnh</t>
  </si>
  <si>
    <t>Thái</t>
  </si>
  <si>
    <t>17/06/2004</t>
  </si>
  <si>
    <t>Hàn Quốc Phú</t>
  </si>
  <si>
    <t>Hân</t>
  </si>
  <si>
    <t>25/12/2004</t>
  </si>
  <si>
    <t>Nguyễn Trần Trung</t>
  </si>
  <si>
    <t>Kiên</t>
  </si>
  <si>
    <t>19/01/2003</t>
  </si>
  <si>
    <t>Huỳnh Minh</t>
  </si>
  <si>
    <t>Sang</t>
  </si>
  <si>
    <t>Trần Võ Quốc</t>
  </si>
  <si>
    <t>Huy</t>
  </si>
  <si>
    <t>20/06/2004</t>
  </si>
  <si>
    <t>Lê Nguyễn Minh</t>
  </si>
  <si>
    <t>Chiến</t>
  </si>
  <si>
    <t>Trần Đăng</t>
  </si>
  <si>
    <t>Khoa</t>
  </si>
  <si>
    <t>15/01/2004</t>
  </si>
  <si>
    <t>Trần Văn</t>
  </si>
  <si>
    <t>Hưng</t>
  </si>
  <si>
    <t>Nguyễn Trường</t>
  </si>
  <si>
    <t>Duy</t>
  </si>
  <si>
    <t>27/03/2002</t>
  </si>
  <si>
    <t>Trần Châu</t>
  </si>
  <si>
    <t>Quý</t>
  </si>
  <si>
    <t>Phạm Gia</t>
  </si>
  <si>
    <t>Thoại</t>
  </si>
  <si>
    <t>25/01/2004</t>
  </si>
  <si>
    <t>Phạm Nguyễn Quốc</t>
  </si>
  <si>
    <t>Nguyễn Tiến</t>
  </si>
  <si>
    <t>Trường</t>
  </si>
  <si>
    <t>14/08/2004</t>
  </si>
  <si>
    <t>Phúc</t>
  </si>
  <si>
    <t>19/09/2004</t>
  </si>
  <si>
    <t>Lê Huỳnh</t>
  </si>
  <si>
    <t>13/08/2004</t>
  </si>
  <si>
    <t>Lê Đức</t>
  </si>
  <si>
    <t>Thịnh</t>
  </si>
  <si>
    <t>Phạm</t>
  </si>
  <si>
    <t>Dũng</t>
  </si>
  <si>
    <t>Lại Xuân</t>
  </si>
  <si>
    <t>Quang</t>
  </si>
  <si>
    <t>29/11/2004</t>
  </si>
  <si>
    <t>Nguyễn Đức</t>
  </si>
  <si>
    <t>25/06/2003</t>
  </si>
  <si>
    <t>22CT112</t>
  </si>
  <si>
    <t>Nguyễn Linh Quốc</t>
  </si>
  <si>
    <t>Bảo</t>
  </si>
  <si>
    <t>28/11/2003</t>
  </si>
  <si>
    <t>Đỗ Khắc</t>
  </si>
  <si>
    <t>Nguyễn Khánh</t>
  </si>
  <si>
    <t>Tâm</t>
  </si>
  <si>
    <t>Trần Gia</t>
  </si>
  <si>
    <t>15/09/2004</t>
  </si>
  <si>
    <t>Vũ Văn</t>
  </si>
  <si>
    <t>Phú</t>
  </si>
  <si>
    <t>19/07/2004</t>
  </si>
  <si>
    <t>Dương Đình</t>
  </si>
  <si>
    <t>Đăng</t>
  </si>
  <si>
    <t>Nguyễn Thế Minh</t>
  </si>
  <si>
    <t>Thiện</t>
  </si>
  <si>
    <t>22/04/2004</t>
  </si>
  <si>
    <t>Nguyễn Sơn Phi</t>
  </si>
  <si>
    <t>Hoàng</t>
  </si>
  <si>
    <t>Trịnh Vũ Tuấn</t>
  </si>
  <si>
    <t>Minh</t>
  </si>
  <si>
    <t>Tạ Ngọc Phi</t>
  </si>
  <si>
    <t>Phi</t>
  </si>
  <si>
    <t>17/10/2004</t>
  </si>
  <si>
    <t>Nguyễn Doãn Minh</t>
  </si>
  <si>
    <t>Như</t>
  </si>
  <si>
    <t>Huỳnh Ngọc</t>
  </si>
  <si>
    <t>Nghị</t>
  </si>
  <si>
    <t>24/09/2004</t>
  </si>
  <si>
    <t>Võ Đại</t>
  </si>
  <si>
    <t>Nhân</t>
  </si>
  <si>
    <t>Nguyễn Duy</t>
  </si>
  <si>
    <t>Độ</t>
  </si>
  <si>
    <t>Bùi Bình</t>
  </si>
  <si>
    <t>19/10/2004</t>
  </si>
  <si>
    <t>Phạm Bảo Minh</t>
  </si>
  <si>
    <t>Thế</t>
  </si>
  <si>
    <t>Nguyễn Tấn</t>
  </si>
  <si>
    <t>Tài</t>
  </si>
  <si>
    <t>26/03/2004</t>
  </si>
  <si>
    <t>Nguyễn Hồng</t>
  </si>
  <si>
    <t>Nguyễn Huy</t>
  </si>
  <si>
    <t>Chu Ngọc</t>
  </si>
  <si>
    <t>Sơn</t>
  </si>
  <si>
    <t>Hoàng Thanh</t>
  </si>
  <si>
    <t>Nhật</t>
  </si>
  <si>
    <t>Đinh Quang Tuấn</t>
  </si>
  <si>
    <t>Trần Đình</t>
  </si>
  <si>
    <t>27/11/2002</t>
  </si>
  <si>
    <t>Võ Tuấn</t>
  </si>
  <si>
    <t>Sĩ</t>
  </si>
  <si>
    <t>28/06/2004</t>
  </si>
  <si>
    <t>Lê Hoàng</t>
  </si>
  <si>
    <t>Nguyên</t>
  </si>
  <si>
    <t>25/03/2004</t>
  </si>
  <si>
    <t>Lê Trần</t>
  </si>
  <si>
    <t>24/03/2004</t>
  </si>
  <si>
    <t>Lê Quốc</t>
  </si>
  <si>
    <t>13/09/2004</t>
  </si>
  <si>
    <t>Nguyễn Việt</t>
  </si>
  <si>
    <t>18/11/2003</t>
  </si>
  <si>
    <t>Hoàng Gia</t>
  </si>
  <si>
    <t>21/12/2003</t>
  </si>
  <si>
    <t>Nguyễn Đình</t>
  </si>
  <si>
    <t>Phát</t>
  </si>
  <si>
    <t>Nguyễn Anh</t>
  </si>
  <si>
    <t>Luân</t>
  </si>
  <si>
    <t>21/05/2004</t>
  </si>
  <si>
    <t>Nguyễn Võ Quốc</t>
  </si>
  <si>
    <t>23/11/2003</t>
  </si>
  <si>
    <t>22CT113</t>
  </si>
  <si>
    <t>Đinh Tấn</t>
  </si>
  <si>
    <t>Hùng</t>
  </si>
  <si>
    <t>18/10/2004</t>
  </si>
  <si>
    <t>Lâm</t>
  </si>
  <si>
    <t>Manh</t>
  </si>
  <si>
    <t>Bùi Kim</t>
  </si>
  <si>
    <t>Nhi</t>
  </si>
  <si>
    <t>27/11/2004</t>
  </si>
  <si>
    <t>Lê Chí</t>
  </si>
  <si>
    <t>Tường</t>
  </si>
  <si>
    <t>Đinh Công</t>
  </si>
  <si>
    <t>Hiếu</t>
  </si>
  <si>
    <t>Vũ Nguyễn Quang</t>
  </si>
  <si>
    <t>24/06/2004</t>
  </si>
  <si>
    <t>Bùi Hữu</t>
  </si>
  <si>
    <t>Phước</t>
  </si>
  <si>
    <t>17/04/2004</t>
  </si>
  <si>
    <t>Tạ Ngọc</t>
  </si>
  <si>
    <t>Chương</t>
  </si>
  <si>
    <t>18/09/2004</t>
  </si>
  <si>
    <t>Nguyễn Nguyên</t>
  </si>
  <si>
    <t>Đặng Hoàng Minh</t>
  </si>
  <si>
    <t>15/06/2004</t>
  </si>
  <si>
    <t>Nguyễn Lê</t>
  </si>
  <si>
    <t>Đặng Trần Nguyên</t>
  </si>
  <si>
    <t>Khang</t>
  </si>
  <si>
    <t>Vương Hoàng</t>
  </si>
  <si>
    <t>21/12/2004</t>
  </si>
  <si>
    <t>Phan Trần Trung</t>
  </si>
  <si>
    <t>30/09/2004</t>
  </si>
  <si>
    <t>Nguyễn Văn</t>
  </si>
  <si>
    <t>Hậu</t>
  </si>
  <si>
    <t>Nguyễn Hữu</t>
  </si>
  <si>
    <t>Nguyễn Thành</t>
  </si>
  <si>
    <t>Trần Đức</t>
  </si>
  <si>
    <t>Phan Hoàng</t>
  </si>
  <si>
    <t>22/09/2004</t>
  </si>
  <si>
    <t>Nguyễn Đặng Giang</t>
  </si>
  <si>
    <t>30/06/2004</t>
  </si>
  <si>
    <t>Trần Tấn</t>
  </si>
  <si>
    <t>Đạt</t>
  </si>
  <si>
    <t>Trần Cẩm</t>
  </si>
  <si>
    <t>Ly</t>
  </si>
  <si>
    <t>16/01/2004</t>
  </si>
  <si>
    <t>Hoàng Minh</t>
  </si>
  <si>
    <t>Hải</t>
  </si>
  <si>
    <t>17/11/2004</t>
  </si>
  <si>
    <t>Trần Trọng</t>
  </si>
  <si>
    <t>Thuận</t>
  </si>
  <si>
    <t>15/11/2004</t>
  </si>
  <si>
    <t>Trịnh</t>
  </si>
  <si>
    <t>Phạm Trần Anh</t>
  </si>
  <si>
    <t>Tú</t>
  </si>
  <si>
    <t>30/01/2004</t>
  </si>
  <si>
    <t>Võ Ngọc</t>
  </si>
  <si>
    <t>19/03/2004</t>
  </si>
  <si>
    <t>Trương Trung</t>
  </si>
  <si>
    <t>Tín</t>
  </si>
  <si>
    <t>20/11/2003</t>
  </si>
  <si>
    <t>Phùng Mạnh</t>
  </si>
  <si>
    <t>Thắng</t>
  </si>
  <si>
    <t>23/02/2004</t>
  </si>
  <si>
    <t>Đỗ Viết Anh</t>
  </si>
  <si>
    <t>Tuấn</t>
  </si>
  <si>
    <t>16/08/2004</t>
  </si>
  <si>
    <t>Đinh Ngọc Quang</t>
  </si>
  <si>
    <t>Đỗ Xuân</t>
  </si>
  <si>
    <t>Hạnh</t>
  </si>
  <si>
    <t>Phạm Hoàng</t>
  </si>
  <si>
    <t>Bùi Ngọc</t>
  </si>
  <si>
    <t>Đỗ Lê Thành</t>
  </si>
  <si>
    <t>20/05/2004</t>
  </si>
  <si>
    <t>22CT114</t>
  </si>
  <si>
    <t>Trung</t>
  </si>
  <si>
    <t>28/10/2003</t>
  </si>
  <si>
    <t>Hà Lê Gia</t>
  </si>
  <si>
    <t>26/09/2003</t>
  </si>
  <si>
    <t>Nguyễn Cao Đức</t>
  </si>
  <si>
    <t>Bình</t>
  </si>
  <si>
    <t>29/06/2001</t>
  </si>
  <si>
    <t>Đinh Huỳnh Hữu</t>
  </si>
  <si>
    <t>13/11/2004</t>
  </si>
  <si>
    <t>Võ Thành</t>
  </si>
  <si>
    <t>14/11/2004</t>
  </si>
  <si>
    <t>Trần Thế</t>
  </si>
  <si>
    <t>An</t>
  </si>
  <si>
    <t>24/05/2004</t>
  </si>
  <si>
    <t>Quách Đình</t>
  </si>
  <si>
    <t>Trương Thị Hải</t>
  </si>
  <si>
    <t>Yến</t>
  </si>
  <si>
    <t>Phạm Minh</t>
  </si>
  <si>
    <t>15/04/2003</t>
  </si>
  <si>
    <t>Nguyễn Trương Hoàng</t>
  </si>
  <si>
    <t>Lương Văn</t>
  </si>
  <si>
    <t>Thanh</t>
  </si>
  <si>
    <t>16/05/2004</t>
  </si>
  <si>
    <t>Nguyễn Quý Hoàng</t>
  </si>
  <si>
    <t>Long</t>
  </si>
  <si>
    <t>29/09/2001</t>
  </si>
  <si>
    <t>Nguyễn Đăng Thanh</t>
  </si>
  <si>
    <t>Nhã</t>
  </si>
  <si>
    <t>Dương Phước</t>
  </si>
  <si>
    <t>Hiệp</t>
  </si>
  <si>
    <t>Huỳnh Tấn</t>
  </si>
  <si>
    <t>Lê Hồng</t>
  </si>
  <si>
    <t>26/10/2004</t>
  </si>
  <si>
    <t>Trần Tuyết</t>
  </si>
  <si>
    <t>Nhung</t>
  </si>
  <si>
    <t>13/10/2004</t>
  </si>
  <si>
    <t>Nguyễn Văn Đức</t>
  </si>
  <si>
    <t>Trọng</t>
  </si>
  <si>
    <t>22/03/2004</t>
  </si>
  <si>
    <t>Nguyễn Tùng</t>
  </si>
  <si>
    <t>Lân</t>
  </si>
  <si>
    <t>Trần Tuấn</t>
  </si>
  <si>
    <t>Lương</t>
  </si>
  <si>
    <t>13/06/2003</t>
  </si>
  <si>
    <t>Trịnh Huỳnh Thừa</t>
  </si>
  <si>
    <t>Nguyễn Phong</t>
  </si>
  <si>
    <t>18/12/2004</t>
  </si>
  <si>
    <t>Đinh Tâm</t>
  </si>
  <si>
    <t>Thảo</t>
  </si>
  <si>
    <t>Chu Hoàng</t>
  </si>
  <si>
    <t>18/11/2004</t>
  </si>
  <si>
    <t>Phạm Tùng</t>
  </si>
  <si>
    <t>Dương</t>
  </si>
  <si>
    <t>21/01/2004</t>
  </si>
  <si>
    <t>Vũ</t>
  </si>
  <si>
    <t>Hoàng Trung</t>
  </si>
  <si>
    <t>Chu Đình</t>
  </si>
  <si>
    <t>Đại</t>
  </si>
  <si>
    <t>22CT115</t>
  </si>
  <si>
    <t>Nguyễn Trọng Hiếu</t>
  </si>
  <si>
    <t>16/04/2003</t>
  </si>
  <si>
    <t>Trần Nguyễn</t>
  </si>
  <si>
    <t>Trần Thị Như</t>
  </si>
  <si>
    <t>Quỳnh</t>
  </si>
  <si>
    <t>18/03/2004</t>
  </si>
  <si>
    <t>Nguyễn Đoàn Nhật</t>
  </si>
  <si>
    <t>21/04/1999</t>
  </si>
  <si>
    <t>Lê Phúc</t>
  </si>
  <si>
    <t>17/09/2004</t>
  </si>
  <si>
    <t>Lê</t>
  </si>
  <si>
    <t>Phùng Thái</t>
  </si>
  <si>
    <t>24/07/2004</t>
  </si>
  <si>
    <t>Mai Trường</t>
  </si>
  <si>
    <t>15/10/2004</t>
  </si>
  <si>
    <t>Phạm Hữu</t>
  </si>
  <si>
    <t>20/01/2004</t>
  </si>
  <si>
    <t>Phan Đức</t>
  </si>
  <si>
    <t>Thọ</t>
  </si>
  <si>
    <t>Tạ Hảo</t>
  </si>
  <si>
    <t>Phạm Trí</t>
  </si>
  <si>
    <t>Khiêm</t>
  </si>
  <si>
    <t>Nguyễn Ngọc Tuấn</t>
  </si>
  <si>
    <t>28/11/2004</t>
  </si>
  <si>
    <t>Vũ Quốc</t>
  </si>
  <si>
    <t>Nguyễn Hiếu</t>
  </si>
  <si>
    <t>19/02/2004</t>
  </si>
  <si>
    <t>Phan Thành</t>
  </si>
  <si>
    <t>Nguyễn Trọng</t>
  </si>
  <si>
    <t>Bùi Minh</t>
  </si>
  <si>
    <t>Cường</t>
  </si>
  <si>
    <t>Cao Lê</t>
  </si>
  <si>
    <t>Nguyễn Thị Tường</t>
  </si>
  <si>
    <t>Vy</t>
  </si>
  <si>
    <t>28/07/2004</t>
  </si>
  <si>
    <t>Mạnh</t>
  </si>
  <si>
    <t>Trần Đình Phúc</t>
  </si>
  <si>
    <t>Lương Đức</t>
  </si>
  <si>
    <t>24/01/2004</t>
  </si>
  <si>
    <t>Nguyễn Nhựt</t>
  </si>
  <si>
    <t>Hào</t>
  </si>
  <si>
    <t>Nguyễn Minh</t>
  </si>
  <si>
    <t>17/01/2004</t>
  </si>
  <si>
    <t>Đậu Minh</t>
  </si>
  <si>
    <t>Châu Gia</t>
  </si>
  <si>
    <t>23/09/2004</t>
  </si>
  <si>
    <t>Bùi Bảo</t>
  </si>
  <si>
    <t>22EC111</t>
  </si>
  <si>
    <t>Trần Thị Lan</t>
  </si>
  <si>
    <t>Phùng Thụy Vân</t>
  </si>
  <si>
    <t>Nguyễn Thái Thanh</t>
  </si>
  <si>
    <t>21/03/2004</t>
  </si>
  <si>
    <t>Nguyễn Thị Thanh</t>
  </si>
  <si>
    <t>Hà</t>
  </si>
  <si>
    <t>23/12/2004</t>
  </si>
  <si>
    <t>Biện Lê Bảo</t>
  </si>
  <si>
    <t>19/05/2004</t>
  </si>
  <si>
    <t>Lồng Khánh</t>
  </si>
  <si>
    <t>15/05/2002</t>
  </si>
  <si>
    <t>Nguyễn Mai Minh</t>
  </si>
  <si>
    <t>Đinh Thị Thanh</t>
  </si>
  <si>
    <t>Hương</t>
  </si>
  <si>
    <t>27/08/2004</t>
  </si>
  <si>
    <t>Phạm Duy</t>
  </si>
  <si>
    <t>26/01/2004</t>
  </si>
  <si>
    <t>Lộc</t>
  </si>
  <si>
    <t>Phạm Khánh</t>
  </si>
  <si>
    <t>Nguyễn Hoàng Phương</t>
  </si>
  <si>
    <t>Ngân</t>
  </si>
  <si>
    <t>Lê Thị Minh</t>
  </si>
  <si>
    <t>Nguyệt</t>
  </si>
  <si>
    <t>Vi Hoài</t>
  </si>
  <si>
    <t>Thương</t>
  </si>
  <si>
    <t>Lê Trần Mai</t>
  </si>
  <si>
    <t>Thy</t>
  </si>
  <si>
    <t>Nguyễn Ngọc Thủy</t>
  </si>
  <si>
    <t>Tiên</t>
  </si>
  <si>
    <t>Đỗ Đặng Thùy</t>
  </si>
  <si>
    <t>Trang</t>
  </si>
  <si>
    <t>16/09/2004</t>
  </si>
  <si>
    <t>Nguyễn Vũ Minh</t>
  </si>
  <si>
    <t>Triết</t>
  </si>
  <si>
    <t>Trần Lữ Long</t>
  </si>
  <si>
    <t>Vân</t>
  </si>
  <si>
    <t>16/11/2004</t>
  </si>
  <si>
    <t>Vinh</t>
  </si>
  <si>
    <t>25/08/2004</t>
  </si>
  <si>
    <t>Tạ Thị Ngọc</t>
  </si>
  <si>
    <t>20/07/2004</t>
  </si>
  <si>
    <t>#</t>
  </si>
  <si>
    <t>ClassID</t>
  </si>
  <si>
    <t>LastName</t>
  </si>
  <si>
    <t>FirstName</t>
  </si>
  <si>
    <t>Phone</t>
  </si>
  <si>
    <t>Đăng kí</t>
  </si>
  <si>
    <t>Hinh thức</t>
  </si>
  <si>
    <t>GVHD</t>
  </si>
  <si>
    <t>Xác nhận</t>
  </si>
  <si>
    <t>Tên Đề tài</t>
  </si>
  <si>
    <t>Tracking nộp thuyết minh</t>
  </si>
  <si>
    <t>Đồng ý</t>
  </si>
  <si>
    <t>Phan Mạnh Thường</t>
  </si>
  <si>
    <t>Đã ĐK</t>
  </si>
  <si>
    <t>Thực hiện đồ án tốt nghiệp</t>
  </si>
  <si>
    <t>Hồ Ngọc Hoàng Long</t>
  </si>
  <si>
    <t>Xây dựng website về thời trang phong cách hàn quốc</t>
  </si>
  <si>
    <t>Xây dựng mô hình thương mại điện tử kinh doanh nông sản tươi sạch</t>
  </si>
  <si>
    <t>Triển khai mô hình kinh donah online cho cửa hàng đồ ăn vặt chú Mập</t>
  </si>
  <si>
    <t>Nguyễn Minh Sơn</t>
  </si>
  <si>
    <t>Bán hàng online</t>
  </si>
  <si>
    <t>COUNTA of Đăng kí</t>
  </si>
  <si>
    <t>Chưa ĐK</t>
  </si>
  <si>
    <t>Grand Total</t>
  </si>
  <si>
    <t>COUNTA of ClassID</t>
  </si>
  <si>
    <t>COUNTUNIQUE of Tên Đề tài</t>
  </si>
  <si>
    <t/>
  </si>
  <si>
    <t>Bùi Thị Thu Trang</t>
  </si>
  <si>
    <t>Bùi Xuân Cảnh</t>
  </si>
  <si>
    <t>Đặc cách tốt nghiệp</t>
  </si>
  <si>
    <t>Đoàn Thiện Minh</t>
  </si>
  <si>
    <t>Hoàng Sỹ Hùng</t>
  </si>
  <si>
    <t xml:space="preserve">Hoàng Sỹ Hùng </t>
  </si>
  <si>
    <t>Nguyễn Minh Phúc</t>
  </si>
  <si>
    <t>Nguyễn Văn Phi</t>
  </si>
  <si>
    <t>Nguyễn Vũ Duy Quang</t>
  </si>
  <si>
    <t>Nguyễn Vũ Thiên Phúc</t>
  </si>
  <si>
    <t>COUNT of StudentID</t>
  </si>
  <si>
    <t>Phan Thị Hường</t>
  </si>
  <si>
    <t>Phan Thiện Phước</t>
  </si>
  <si>
    <t>Phan Tuấn Lực</t>
  </si>
  <si>
    <t>Trần Thanh Phương</t>
  </si>
  <si>
    <t>Trần Thị Diệu Hiền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</si>
</sst>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m/d/yyyy"/>
    <numFmt numFmtId="166" formatCode="m/d/yyyy h:mm:ss"/>
    <numFmt numFmtId="167" formatCode="0000000000"/>
  </numFmts>
  <fonts count="6">
    <font>
      <sz val="10.0"/>
      <color rgb="FF000000"/>
      <name val="Arial"/>
      <scheme val="minor"/>
    </font>
    <font>
      <color theme="1"/>
      <name val="Arial"/>
      <scheme val="minor"/>
    </font>
    <font>
      <color rgb="FFFF00FF"/>
      <name val="Arial"/>
      <scheme val="minor"/>
    </font>
    <font>
      <u/>
      <color rgb="FF0000FF"/>
    </font>
    <font>
      <b/>
      <color theme="1"/>
      <name val="Arial"/>
      <scheme val="minor"/>
    </font>
    <font>
      <color rgb="FFFF0000"/>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1" xfId="0" applyAlignment="1" applyFont="1" applyNumberForma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0" xfId="0" applyFont="1"/>
    <xf borderId="0" fillId="0" fontId="2" numFmtId="165" xfId="0" applyAlignment="1" applyFont="1" applyNumberFormat="1">
      <alignment readingOrder="0"/>
    </xf>
    <xf borderId="0" fillId="0" fontId="1" numFmtId="0" xfId="0" applyFont="1"/>
    <xf borderId="0" fillId="0" fontId="1" numFmtId="166" xfId="0" applyFont="1" applyNumberFormat="1"/>
    <xf borderId="0" fillId="0" fontId="3" numFmtId="0" xfId="0" applyFont="1"/>
    <xf borderId="0" fillId="0" fontId="1" numFmtId="165" xfId="0" applyFont="1" applyNumberFormat="1"/>
    <xf borderId="0" fillId="0" fontId="4" numFmtId="0" xfId="0" applyAlignment="1" applyFont="1">
      <alignment horizontal="center" readingOrder="0"/>
    </xf>
    <xf borderId="0" fillId="2" fontId="4" numFmtId="0" xfId="0" applyAlignment="1" applyFill="1" applyFont="1">
      <alignment horizontal="center" readingOrder="0"/>
    </xf>
    <xf borderId="0" fillId="0" fontId="1" numFmtId="167" xfId="0" applyFont="1" applyNumberFormat="1"/>
    <xf borderId="0" fillId="0" fontId="1" numFmtId="0" xfId="0" applyAlignment="1" applyFont="1">
      <alignment shrinkToFit="0" wrapText="1"/>
    </xf>
    <xf borderId="0" fillId="0" fontId="1" numFmtId="10" xfId="0" applyFont="1" applyNumberForma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197" sheet="Tracking"/>
  </cacheSource>
  <cacheFields>
    <cacheField name="#"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sharedItems>
    </cacheField>
    <cacheField name="StudentID" numFmtId="0">
      <sharedItems containsSemiMixedTypes="0" containsString="0" containsNumber="1" containsInteger="1">
        <n v="1.22000002E8"/>
        <n v="1.22000015E8"/>
        <n v="1.22000057E8"/>
        <n v="1.2200009E8"/>
        <n v="1.22000093E8"/>
        <n v="1.22000111E8"/>
        <n v="1.22000209E8"/>
        <n v="1.22000224E8"/>
        <n v="1.22000232E8"/>
        <n v="1.22000246E8"/>
        <n v="1.22000248E8"/>
        <n v="1.22000268E8"/>
        <n v="1.22000315E8"/>
        <n v="1.22000326E8"/>
        <n v="1.22000336E8"/>
        <n v="1.22000343E8"/>
        <n v="1.22000357E8"/>
        <n v="1.22000385E8"/>
        <n v="1.22000386E8"/>
        <n v="1.22000404E8"/>
        <n v="1.22000455E8"/>
        <n v="1.2200049E8"/>
        <n v="1.2200052E8"/>
        <n v="1.22000598E8"/>
        <n v="1.22000601E8"/>
        <n v="1.22000682E8"/>
        <n v="1.2200097E8"/>
        <n v="1.22001011E8"/>
        <n v="1.22001282E8"/>
        <n v="1.2200135E8"/>
        <n v="1.22001361E8"/>
        <n v="1.21000156E8"/>
        <n v="1.2100124E8"/>
        <n v="1.22000118E8"/>
        <n v="1.22000163E8"/>
        <n v="1.22000181E8"/>
        <n v="1.22000273E8"/>
        <n v="1.22000331E8"/>
        <n v="1.22000421E8"/>
        <n v="1.22000537E8"/>
        <n v="1.2200055E8"/>
        <n v="1.22000575E8"/>
        <n v="1.22000584E8"/>
        <n v="1.22000644E8"/>
        <n v="1.22000755E8"/>
        <n v="1.22000757E8"/>
        <n v="1.22000759E8"/>
        <n v="1.2200076E8"/>
        <n v="1.220008E8"/>
        <n v="1.22000805E8"/>
        <n v="1.22000843E8"/>
        <n v="1.22000886E8"/>
        <n v="1.22000917E8"/>
        <n v="1.22001021E8"/>
        <n v="1.22001025E8"/>
        <n v="1.22001067E8"/>
        <n v="1.22001144E8"/>
        <n v="1.22001208E8"/>
        <n v="1.22001209E8"/>
        <n v="1.2200121E8"/>
        <n v="1.22001257E8"/>
        <n v="1.22001277E8"/>
        <n v="1.2200128E8"/>
        <n v="1.22001316E8"/>
        <n v="1.22001605E8"/>
        <n v="1.22000042E8"/>
        <n v="1.22000053E8"/>
        <n v="1.22000063E8"/>
        <n v="1.22000153E8"/>
        <n v="1.22000156E8"/>
        <n v="1.22000186E8"/>
        <n v="1.2200022E8"/>
        <n v="1.22000227E8"/>
        <n v="1.22000275E8"/>
        <n v="1.22000295E8"/>
        <n v="1.22000309E8"/>
        <n v="1.22000338E8"/>
        <n v="1.22000401E8"/>
        <n v="1.22000405E8"/>
        <n v="1.22000426E8"/>
        <n v="1.2200051E8"/>
        <n v="1.22000564E8"/>
        <n v="1.22000661E8"/>
        <n v="1.22000725E8"/>
        <n v="1.22000749E8"/>
        <n v="1.22000796E8"/>
        <n v="1.22000798E8"/>
        <n v="1.2200081E8"/>
        <n v="1.22000814E8"/>
        <n v="1.22000821E8"/>
        <n v="1.22000848E8"/>
        <n v="1.2200086E8"/>
        <n v="1.22000942E8"/>
        <n v="1.22000971E8"/>
        <n v="1.22000973E8"/>
        <n v="1.22001039E8"/>
        <n v="1.22001042E8"/>
        <n v="1.22001061E8"/>
        <n v="1.22001087E8"/>
        <n v="1.22001109E8"/>
        <n v="1.22001117E8"/>
        <n v="1.22001155E8"/>
        <n v="1.22001179E8"/>
        <n v="1.22001249E8"/>
        <n v="1.22001281E8"/>
        <n v="1.22001295E8"/>
        <n v="1.21001164E8"/>
        <n v="1.21001309E8"/>
        <n v="1.22000082E8"/>
        <n v="1.22000102E8"/>
        <n v="1.22000223E8"/>
        <n v="1.2200024E8"/>
        <n v="1.22000269E8"/>
        <n v="1.22000282E8"/>
        <n v="1.22000292E8"/>
        <n v="1.22000391E8"/>
        <n v="1.22000438E8"/>
        <n v="1.22000441E8"/>
        <n v="1.22000456E8"/>
        <n v="1.2200046E8"/>
        <n v="1.22000476E8"/>
        <n v="1.22000544E8"/>
        <n v="1.22000549E8"/>
        <n v="1.22000587E8"/>
        <n v="1.22000648E8"/>
        <n v="1.22000705E8"/>
        <n v="1.22000708E8"/>
        <n v="1.22000752E8"/>
        <n v="1.22000776E8"/>
        <n v="1.22000829E8"/>
        <n v="1.22001002E8"/>
        <n v="1.22001005E8"/>
        <n v="1.22001047E8"/>
        <n v="1.22001215E8"/>
        <n v="1.22001254E8"/>
        <n v="1.22001286E8"/>
        <n v="1.22001299E8"/>
        <n v="1.22001333E8"/>
        <n v="1.22001374E8"/>
        <n v="1.22001375E8"/>
        <n v="1.22001433E8"/>
        <n v="1.22001545E8"/>
        <n v="1.21000551E8"/>
        <n v="1.22000192E8"/>
        <n v="1.22000203E8"/>
        <n v="1.22000253E8"/>
        <n v="1.22000472E8"/>
        <n v="1.22000496E8"/>
        <n v="1.22000702E8"/>
        <n v="1.22000827E8"/>
        <n v="1.2200099E8"/>
        <n v="1.22001128E8"/>
        <n v="1.22001383E8"/>
        <n v="1.22001385E8"/>
        <n v="1.22001389E8"/>
        <n v="1.22001394E8"/>
        <n v="1.22001407E8"/>
        <n v="1.22001416E8"/>
        <n v="1.22001425E8"/>
        <n v="1.22001446E8"/>
        <n v="1.22001452E8"/>
        <n v="1.22001458E8"/>
        <n v="1.22001459E8"/>
        <n v="1.22001471E8"/>
        <n v="1.22001472E8"/>
        <n v="1.22001473E8"/>
        <n v="1.22001481E8"/>
        <n v="1.22001493E8"/>
        <n v="1.22001497E8"/>
        <n v="1.22001502E8"/>
        <n v="1.22001541E8"/>
        <n v="1.22001549E8"/>
        <n v="1.22001599E8"/>
        <n v="1.22001006E8"/>
        <n v="1.22001123E8"/>
        <n v="1.22000293E8"/>
        <n v="1.22001259E8"/>
        <n v="1.2200115E8"/>
        <n v="1.22000728E8"/>
        <n v="1.22001526E8"/>
        <n v="1.22000056E8"/>
        <n v="1.22000611E8"/>
        <n v="1.22000284E8"/>
        <n v="1.22000416E8"/>
        <n v="1.22000286E8"/>
        <n v="1.22000406E8"/>
        <n v="1.22001043E8"/>
        <n v="1.22001008E8"/>
        <n v="1.22000859E8"/>
        <n v="1.22001384E8"/>
        <n v="1.22001292E8"/>
        <n v="1.22001411E8"/>
        <n v="1.2200026E8"/>
        <n v="1.22000188E8"/>
        <n v="1.22001256E8"/>
        <n v="1.22001353E8"/>
      </sharedItems>
    </cacheField>
    <cacheField name="ClassID" numFmtId="0">
      <sharedItems>
        <s v="22CT111"/>
        <s v="22CT112"/>
        <s v="22CT113"/>
        <s v="22CT114"/>
        <s v="22CT115"/>
        <s v="22EC111"/>
      </sharedItems>
    </cacheField>
    <cacheField name="LastName" numFmtId="0">
      <sharedItems>
        <s v="Nguyễn Hoàng"/>
        <s v="Mai Trung Hoài"/>
        <s v="Diệp Thị Mỹ"/>
        <s v="Nguyễn Trung"/>
        <s v="Trương Quốc"/>
        <s v="Phạm Anh"/>
        <s v="Lê Tuấn"/>
        <s v="Trương Nguyên"/>
        <s v="Hà Vũ"/>
        <s v="Ngô Minh"/>
        <s v="Lê Anh"/>
        <s v="Vũ Tiến"/>
        <s v="Trần Mạnh"/>
        <s v="Hàn Quốc Phú"/>
        <s v="Nguyễn Trần Trung"/>
        <s v="Huỳnh Minh"/>
        <s v="Trần Võ Quốc"/>
        <s v="Lê Nguyễn Minh"/>
        <s v="Trần Đăng"/>
        <s v="Trần Văn"/>
        <s v="Nguyễn Trường"/>
        <s v="Trần Châu"/>
        <s v="Phạm Gia"/>
        <s v="Phạm Nguyễn Quốc"/>
        <s v="Nguyễn Tiến"/>
        <s v="Lê Huỳnh"/>
        <s v="Lê Đức"/>
        <s v="Phạm"/>
        <s v="Lại Xuân"/>
        <s v="Nguyễn Đức"/>
        <s v="Nguyễn Linh Quốc"/>
        <s v="Đỗ Khắc"/>
        <s v="Nguyễn Khánh"/>
        <s v="Trần Gia"/>
        <s v="Vũ Văn"/>
        <s v="Dương Đình"/>
        <s v="Nguyễn Thế Minh"/>
        <s v="Nguyễn Sơn Phi"/>
        <s v="Trịnh Vũ Tuấn"/>
        <s v="Tạ Ngọc Phi"/>
        <s v="Nguyễn Doãn Minh"/>
        <s v="Huỳnh Ngọc"/>
        <s v="Võ Đại"/>
        <s v="Nguyễn Duy"/>
        <s v="Bùi Bình"/>
        <s v="Phạm Bảo Minh"/>
        <s v="Nguyễn Tấn"/>
        <s v="Nguyễn Hồng"/>
        <s v="Nguyễn Huy"/>
        <s v="Chu Ngọc"/>
        <s v="Hoàng Thanh"/>
        <s v="Đinh Quang Tuấn"/>
        <s v="Trần Đình"/>
        <s v="Võ Tuấn"/>
        <s v="Lê Hoàng"/>
        <s v="Lê Trần"/>
        <s v="Lê Quốc"/>
        <s v="Nguyễn Việt"/>
        <s v="Hoàng Gia"/>
        <s v="Nguyễn Đình"/>
        <s v="Nguyễn Anh"/>
        <s v="Nguyễn Võ Quốc"/>
        <s v="Đinh Tấn"/>
        <s v="Lâm"/>
        <s v="Bùi Kim"/>
        <s v="Lê Chí"/>
        <s v="Đinh Công"/>
        <s v="Vũ Nguyễn Quang"/>
        <s v="Bùi Hữu"/>
        <s v="Tạ Ngọc"/>
        <s v="Nguyễn Nguyên"/>
        <s v="Đặng Hoàng Minh"/>
        <s v="Nguyễn Lê"/>
        <s v="Đặng Trần Nguyên"/>
        <s v="Vương Hoàng"/>
        <s v="Phan Trần Trung"/>
        <s v="Nguyễn Văn"/>
        <s v="Nguyễn Hữu"/>
        <s v="Nguyễn Thành"/>
        <s v="Trần Đức"/>
        <s v="Phan Hoàng"/>
        <s v="Nguyễn Đặng Giang"/>
        <s v="Trần Tấn"/>
        <s v="Trần Cẩm"/>
        <s v="Hoàng Minh"/>
        <s v="Trần Trọng"/>
        <s v="Trịnh"/>
        <s v="Phạm Trần Anh"/>
        <s v="Võ Ngọc"/>
        <s v="Trương Trung"/>
        <s v="Phùng Mạnh"/>
        <s v="Đỗ Viết Anh"/>
        <s v="Đinh Ngọc Quang"/>
        <s v="Đỗ Xuân"/>
        <s v="Phạm Hoàng"/>
        <s v="Bùi Ngọc"/>
        <s v="Đỗ Lê Thành"/>
        <s v="Hà Lê Gia"/>
        <s v="Nguyễn Cao Đức"/>
        <s v="Đinh Huỳnh Hữu"/>
        <s v="Võ Thành"/>
        <s v="Trần Thế"/>
        <s v="Quách Đình"/>
        <s v="Trương Thị Hải"/>
        <s v="Phạm Minh"/>
        <s v="Nguyễn Trương Hoàng"/>
        <s v="Lương Văn"/>
        <s v="Nguyễn Quý Hoàng"/>
        <s v="Nguyễn Đăng Thanh"/>
        <s v="Dương Phước"/>
        <s v="Huỳnh Tấn"/>
        <s v="Lê Hồng"/>
        <s v="Trần Tuyết"/>
        <s v="Nguyễn Văn Đức"/>
        <s v="Nguyễn Tùng"/>
        <s v="Trần Tuấn"/>
        <s v="Trịnh Huỳnh Thừa"/>
        <s v="Nguyễn Phong"/>
        <s v="Đinh Tâm"/>
        <s v="Chu Hoàng"/>
        <s v="Phạm Tùng"/>
        <s v="Vũ"/>
        <s v="Hoàng Trung"/>
        <s v="Chu Đình"/>
        <s v="Nguyễn Trọng Hiếu"/>
        <s v="Trần Nguyễn"/>
        <s v="Trần Thị Như"/>
        <s v="Nguyễn Đoàn Nhật"/>
        <s v="Lê Phúc"/>
        <s v="Lê"/>
        <s v="Phùng Thái"/>
        <s v="Mai Trường"/>
        <s v="Phạm Hữu"/>
        <s v="Phan Đức"/>
        <s v="Tạ Hảo"/>
        <s v="Phạm Trí"/>
        <s v="Nguyễn Ngọc Tuấn"/>
        <s v="Vũ Quốc"/>
        <s v="Nguyễn Hiếu"/>
        <s v="Phan Thành"/>
        <s v="Nguyễn Trọng"/>
        <s v="Bùi Minh"/>
        <s v="Cao Lê"/>
        <s v="Nguyễn Thị Tường"/>
        <s v="Trần Đình Phúc"/>
        <s v="Lương Đức"/>
        <s v="Nguyễn Nhựt"/>
        <s v="Nguyễn Minh"/>
        <s v="Đậu Minh"/>
        <s v="Châu Gia"/>
        <s v="Bùi Bảo"/>
        <s v="Trần Thị Lan"/>
        <s v="Phùng Thụy Vân"/>
        <s v="Nguyễn Thái Thanh"/>
        <s v="Nguyễn Thị Thanh"/>
        <s v="Biện Lê Bảo"/>
        <s v="Lồng Khánh"/>
        <s v="Nguyễn Mai Minh"/>
        <s v="Đinh Thị Thanh"/>
        <s v="Phạm Duy"/>
        <s v="Phạm Khánh"/>
        <s v="Nguyễn Hoàng Phương"/>
        <s v="Lê Thị Minh"/>
        <s v="Vi Hoài"/>
        <s v="Lê Trần Mai"/>
        <s v="Nguyễn Ngọc Thủy"/>
        <s v="Đỗ Đặng Thùy"/>
        <s v="Nguyễn Vũ Minh"/>
        <s v="Trần Lữ Long"/>
        <s v="Tạ Thị Ngọc"/>
      </sharedItems>
    </cacheField>
    <cacheField name="FirstName" numFmtId="0">
      <sharedItems>
        <s v="Quốc"/>
        <s v="Phong"/>
        <s v="Hằng"/>
        <s v="Nghĩa"/>
        <s v="Hòa"/>
        <s v="Đức"/>
        <s v="Anh"/>
        <s v="Giáp"/>
        <s v="Khải"/>
        <s v="Quân"/>
        <s v="Khôi"/>
        <s v="Thái"/>
        <s v="Hân"/>
        <s v="Kiên"/>
        <s v="Sang"/>
        <s v="Huy"/>
        <s v="Chiến"/>
        <s v="Khoa"/>
        <s v="Hưng"/>
        <s v="Duy"/>
        <s v="Quý"/>
        <s v="Thoại"/>
        <s v="Trường"/>
        <s v="Phúc"/>
        <s v="Thịnh"/>
        <s v="Dũng"/>
        <s v="Quang"/>
        <s v="Bảo"/>
        <s v="Tâm"/>
        <s v="Phú"/>
        <s v="Đăng"/>
        <s v="Thiện"/>
        <s v="Hoàng"/>
        <s v="Minh"/>
        <s v="Phi"/>
        <s v="Như"/>
        <s v="Nghị"/>
        <s v="Nhân"/>
        <s v="Độ"/>
        <s v="Thế"/>
        <s v="Tài"/>
        <s v="Sơn"/>
        <s v="Nhật"/>
        <s v="Sĩ"/>
        <s v="Nguyên"/>
        <s v="Nam"/>
        <s v="Phát"/>
        <s v="Luân"/>
        <s v="Hùng"/>
        <s v="Manh"/>
        <s v="Nhi"/>
        <s v="Tường"/>
        <s v="Hiếu"/>
        <s v="Phước"/>
        <s v="Chương"/>
        <s v="Khang"/>
        <s v="Hậu"/>
        <s v="Đạt"/>
        <s v="Ly"/>
        <s v="Hải"/>
        <s v="Thuận"/>
        <s v="Tú"/>
        <s v="Tín"/>
        <s v="Thắng"/>
        <s v="Tuấn"/>
        <s v="Hạnh"/>
        <s v="Trung"/>
        <s v="Bình"/>
        <s v="An"/>
        <s v="Yến"/>
        <s v="Thanh"/>
        <s v="Long"/>
        <s v="Nhã"/>
        <s v="Hiệp"/>
        <s v="Nhung"/>
        <s v="Trọng"/>
        <s v="Lân"/>
        <s v="Lương"/>
        <s v="Thảo"/>
        <s v="Dương"/>
        <s v="Đại"/>
        <s v="Quỳnh"/>
        <s v="Thọ"/>
        <s v="Khiêm"/>
        <s v="Cường"/>
        <s v="Vy"/>
        <s v="Mạnh"/>
        <s v="Hào"/>
        <s v="Hà"/>
        <s v="Hương"/>
        <s v="Lộc"/>
        <s v="Ngân"/>
        <s v="Nguyệt"/>
        <s v="Thương"/>
        <s v="Thy"/>
        <s v="Tiên"/>
        <s v="Trang"/>
        <s v="Triết"/>
        <s v="Vân"/>
        <s v="Vinh"/>
      </sharedItems>
    </cacheField>
    <cacheField name="Phone" numFmtId="167">
      <sharedItems containsSemiMixedTypes="0" containsString="0" containsNumber="1" containsInteger="1">
        <n v="9.39439479E8"/>
        <n v="8.24997687E8"/>
        <n v="9.37018921E8"/>
        <n v="8.39446137E8"/>
        <n v="7.78754895E8"/>
        <n v="9.73894731E8"/>
        <n v="3.88169322E8"/>
        <n v="3.6860965E8"/>
        <n v="3.56813741E8"/>
        <n v="9.31468624E8"/>
        <n v="7.64077358E8"/>
        <n v="9.84814271E8"/>
        <n v="8.68994544E8"/>
        <n v="9.1117634E8"/>
        <n v="8.88827445E8"/>
        <n v="9.6181076E8"/>
        <n v="8.25493712E8"/>
        <n v="9.82786983E8"/>
        <n v="9.14753165E8"/>
        <n v="8.48180018E8"/>
        <n v="3.72666743E8"/>
        <n v="9.08998503E8"/>
        <n v="9.3105984E8"/>
        <n v="3.64064731E8"/>
        <n v="3.35520911E8"/>
        <n v="8.24646679E8"/>
        <n v="9.6618692E8"/>
        <n v="3.67075722E8"/>
        <n v="9.76541503E8"/>
        <n v="3.25906617E8"/>
        <n v="9.61763318E8"/>
        <n v="9.48418743E8"/>
        <n v="9.02186519E8"/>
        <n v="9.63296424E8"/>
        <n v="9.33064408E8"/>
        <n v="8.65864336E8"/>
        <n v="9.17693916E8"/>
        <n v="3.69246243E8"/>
        <n v="3.46980771E8"/>
        <n v="3.57976359E8"/>
        <n v="3.48214308E8"/>
        <n v="9.3738468E8"/>
        <n v="3.2830184E8"/>
        <n v="3.88963814E8"/>
        <n v="5.84285823E8"/>
        <n v="8.33911375E8"/>
        <n v="9.73212834E8"/>
        <n v="9.85078964E8"/>
        <n v="7.87696539E8"/>
        <n v="3.27895817E8"/>
        <n v="5.88845537E8"/>
        <n v="3.87950281E8"/>
        <n v="3.87011726E8"/>
        <n v="3.53560594E8"/>
        <n v="3.52085391E8"/>
        <n v="3.29135161E8"/>
        <n v="3.45703317E8"/>
        <n v="3.9583476E8"/>
        <n v="3.87204605E8"/>
        <n v="8.6685649E8"/>
        <n v="3.3998384E8"/>
        <n v="9.71042524E8"/>
        <n v="9.88726204E8"/>
        <n v="3.97493351E8"/>
        <n v="8.55863968E8"/>
        <n v="9.82828004E8"/>
        <n v="3.78165438E8"/>
        <n v="3.47597434E8"/>
        <n v="9.84707674E8"/>
        <n v="9.78125614E8"/>
        <n v="9.83821884E8"/>
        <n v="9.82675191E8"/>
        <n v="3.93972494E8"/>
        <n v="7.06815466E8"/>
        <n v="9.76026004E8"/>
        <n v="8.79057312E8"/>
        <n v="3.59208596E8"/>
        <n v="3.62567818E8"/>
        <n v="7.9803221E8"/>
        <n v="3.79188976E8"/>
        <n v="3.77671847E8"/>
        <n v="9.33669137E8"/>
        <n v="3.32720697E8"/>
        <n v="8.67690787E8"/>
        <n v="3.27986472E8"/>
        <n v="7.72792004E8"/>
        <n v="8.42958696E8"/>
        <n v="3.78818596E8"/>
        <n v="9.18180969E8"/>
        <n v="9.6304716E8"/>
        <n v="3.7698796E8"/>
        <n v="9.41619163E8"/>
        <n v="9.15741652E8"/>
        <n v="8.65667704E8"/>
        <n v="9.23390094E8"/>
        <n v="3.27504298E8"/>
        <n v="8.66684277E8"/>
        <n v="3.49106174E8"/>
        <n v="8.23583538E8"/>
        <n v="9.74648943E8"/>
        <n v="9.6744309E8"/>
        <n v="8.55025924E8"/>
        <n v="8.98685947E8"/>
        <n v="3.96566706E8"/>
        <n v="3.98032901E8"/>
        <n v="7.74563764E8"/>
        <n v="8.15339787E8"/>
        <n v="3.73272354E8"/>
        <n v="3.94272844E8"/>
        <n v="8.68403107E8"/>
        <n v="3.32311604E8"/>
        <n v="3.34644788E8"/>
        <n v="3.55627106E8"/>
        <n v="8.66891746E8"/>
        <n v="9.89752391E8"/>
        <n v="9.88026131E8"/>
        <n v="8.17276254E8"/>
        <n v="3.73545572E8"/>
        <n v="5.86641397E8"/>
        <n v="3.34914712E8"/>
        <n v="9.48509556E8"/>
        <n v="3.34919074E8"/>
        <n v="3.44910369E8"/>
        <n v="3.39842949E8"/>
        <n v="9.08843193E8"/>
        <n v="8.69794753E8"/>
        <n v="9.6607415E8"/>
        <n v="9.46793138E8"/>
        <n v="3.9441727E8"/>
        <n v="3.39508749E8"/>
        <n v="7.66626061E8"/>
        <n v="3.64860796E8"/>
        <n v="3.9283745E8"/>
        <n v="3.67561739E8"/>
        <n v="9.62129753E8"/>
        <n v="7.66627747E8"/>
        <n v="3.92613582E8"/>
        <n v="7.64132019E8"/>
        <n v="3.3440165E8"/>
        <n v="3.39005416E8"/>
        <n v="3.86438891E8"/>
        <n v="3.89255416E8"/>
        <n v="9.29276287E8"/>
        <n v="7.0287256E8"/>
        <n v="3.63169755E8"/>
        <n v="3.33849252E8"/>
        <n v="3.52667076E8"/>
        <n v="3.93654728E8"/>
        <n v="9.77882934E8"/>
        <n v="3.89551722E8"/>
        <n v="3.47508697E8"/>
        <n v="3.27057313E8"/>
        <n v="3.67401449E8"/>
        <n v="3.57823141E8"/>
        <n v="9.71420301E8"/>
        <n v="8.48993079E8"/>
        <n v="3.45543986E8"/>
        <n v="3.94268896E8"/>
        <n v="9.69206761E8"/>
        <n v="3.89579076E8"/>
        <n v="9.4519601E8"/>
        <n v="8.46924089E8"/>
        <n v="9.46122004E8"/>
        <n v="3.75931355E8"/>
        <n v="8.66066583E8"/>
        <n v="8.16111891E8"/>
        <n v="3.62798072E8"/>
        <n v="9.65782304E8"/>
        <n v="3.92167082E8"/>
        <n v="3.82047977E8"/>
        <n v="3.25586629E8"/>
        <n v="9.86375505E8"/>
        <n v="9.11418758E8"/>
        <n v="3.94179828E8"/>
        <n v="3.29711433E8"/>
        <n v="3.47279839E8"/>
        <n v="8.68879933E8"/>
        <n v="3.42194283E8"/>
        <n v="9.18639626E8"/>
        <n v="8.68373842E8"/>
        <n v="9.47339279E8"/>
        <n v="3.73681914E8"/>
        <n v="3.39746902E8"/>
        <n v="3.72517173E8"/>
        <n v="7.92538899E8"/>
        <n v="7.98120504E8"/>
        <n v="3.38208209E8"/>
        <n v="8.6228691E8"/>
        <n v="9.19609189E8"/>
        <n v="3.68740633E8"/>
        <n v="3.56972425E8"/>
        <n v="3.34127732E8"/>
        <n v="7.04578067E8"/>
        <n v="9.73269384E8"/>
        <n v="3.48379672E8"/>
        <n v="9.68171387E8"/>
      </sharedItems>
    </cacheField>
    <cacheField name="Đăng kí" numFmtId="0">
      <sharedItems>
        <s v="Đã ĐK"/>
        <s v="Chưa ĐK"/>
      </sharedItems>
    </cacheField>
    <cacheField name="Hinh thức" numFmtId="0">
      <sharedItems>
        <s v="Thực hiện đồ án tốt nghiệp"/>
        <s v=""/>
        <s v="Đặc cách tốt nghiệp"/>
      </sharedItems>
    </cacheField>
    <cacheField name="GVHD" numFmtId="0">
      <sharedItems containsBlank="1">
        <s v="Nguyễn Vũ Duy Quang"/>
        <s v=""/>
        <s v="Trần Thanh Phương"/>
        <s v="Nguyễn Minh Phúc"/>
        <s v="Nguyễn Vũ Thiên Phúc"/>
        <s v="Bùi Thị Thu Trang"/>
        <s v="Nguyễn Văn Phi"/>
        <s v="Hồ Ngọc Hoàng Long"/>
        <s v="Phan Tuấn Lực"/>
        <s v="Phan Thị Hường"/>
        <s v="Đặc cách tốt nghiệp"/>
        <m/>
        <s v="Phan Mạnh Thường"/>
        <s v="Đoàn Thiện Minh"/>
        <s v="Phan Thiện Phước"/>
        <s v="Nguyễn Minh Sơn"/>
        <s v="Hoàng Sỹ Hùng "/>
        <s v="Hoàng Sỹ Hùng"/>
        <s v="Bùi Xuân Cảnh"/>
        <s v="Trần Thị Diệu Hiền"/>
      </sharedItems>
    </cacheField>
    <cacheField name="Xác nhận" numFmtId="0">
      <sharedItems containsBlank="1">
        <s v="Đồng ý"/>
        <m/>
      </sharedItems>
    </cacheField>
    <cacheField name="Tên Đề tài" numFmtId="0">
      <sharedItems containsBlank="1">
        <s v="Tích hợp Chatbot vào website giúp chốt đơn tự động"/>
        <s v=""/>
        <s v="Ứng dụng Deep Learning để khám phá cấu trúc nhân quả phi tuyến tính từ dữ liệu."/>
        <s v="Phát hiện đạo văn trong bài tập lập trình "/>
        <s v="Phát hiện đạo văn trong bài tập lập trình"/>
        <s v="NGHIÊN CỨU VÀ XÂY DỰNG MÔ HÌNH CHIA SẺ TÀI LIỆU MẬT AN TOÀN TRÊN NỀN TẢNG DESKTOP"/>
        <s v="XÂY DỰNG MODULE HỆ THỐNG GỢI Ý LỖI VÀ FEEDBACK TỰ ĐỘNG TRONG BÀI CÁC MÔN LẬP TRÌNH"/>
        <s v="XÂY DỰNG MODULE HỆ THỐNG GỢI Ý LỖI VÀ FEEDBACK TỰ ĐỘNG TRONG BÀI CÁC MÔN LẬP TRÌNH "/>
        <s v=" Xây dựng module tHệ thống gợi ý bài tập cá nhân hóa trong LMS."/>
        <s v="ĐỀ XUẤT BÀI TẬP THEO CẤP ĐỘ NĂNG LỰC"/>
        <s v="XÂY DỰNG MODULE TÍCH HỢP HỆ THỐNG GỢI Ý BÀI TẬP CÁ NHÂN HÓA TRONG LMS"/>
        <s v="Mô phỏng mạng doanh nghiệp trên Cisco Packet Tracer"/>
        <s v="Phân tích xu hướng tuyển dụng ngành CNTT và TMĐT"/>
        <s v="XÂY DỰNG NGÂN HÀNG BÀI TẬP LẬP TRÌNH THEO CẤP ĐỘ ĐỂ PHỤC VỤ HỆ THỐNG GỢI Ý CÁ NHÂN HÓA"/>
        <s v="XÂY DỰNG HỆ THỐNG CHẤM ĐIỂM PYTHON TỰ ĐỘNG TRÊN LMS - CẤU TRÚC DỮ LIỆU VÀ GIẢI THUẬT"/>
        <s v="XÂY DỰNG NGÂN HÀNG BÀI TẬP LẬP TRÌNH  THEO CẤP ĐỘ ĐỂ PHỤC VỤ HỆ THỐNG GỢI Ý  CÁ NHÂN HÓA"/>
        <s v="Nghiên cứu, sử dụng phần mềm Snort tìm kiếm lỗ hổng hệ thống máy tính và đề xuất các giải pháp phòng tấn công lỗ hổng"/>
        <s v="Nghiên cứu, sử dụng phần mềm Snort tìm kiếm lỗ hổng hệ thống máy tính và đề xuất các giải pháp phòng tấn công lỗ hổng "/>
        <s v="Thiết bị đo thông số môi trường và đưa ra phương án Cây trồng phù hợp cho nông dân"/>
        <s v="Xây dựng kịch bản mô phỏng CVE Wordpress 2016 - 2025 "/>
        <s v="Phân tích tương tác sinh viên với LMS để phát hiện nguy cơ học kém"/>
        <s v="Đề xuất bài tập theo cấp độ nâng lực"/>
        <s v="Thiết lập mô hình Tường lửa Sophos UTM kết hợp Microsoft Active Directory để kiểm soát người dùng cho doanh nghiệp"/>
        <s v="NGHIÊN CỨU VÀ XÂY DỰNG MÔ HÌNH CHIA SẺ TÀI LIỆU MẬT AN TOÀN TRÊN NỀN TẢNG WEBSITE"/>
        <s v="Xây dựng module tìm bạn học dựa theo năng lực và sở thích"/>
        <s v="Xây dựng hệ thống trợ lý ảo gợi ý thực phẩm dành cho người tập Gym(GYM FOOD AI)"/>
        <s v="Xây dựng module phân loại và chia nhóm học tập cho sinh viên theo nhiều tiêu chí"/>
        <s v="Phát Triển Ứng Dụng NetLens Giám Sát và Quản Lý Hệ Thống Mạng"/>
        <s v="Phát triển hệ thống bán hàng cho hộ kinh doanh nhỏ tích hợp công nghệ nhận dạng giọng nói"/>
        <s v="Ứng Dụng AI Học Ngoại Ngữ"/>
        <s v="Xây dựng Dashboard quản lý tiến độ học lập trình cho Quản lý ngành"/>
        <s v="XÂY DỰNG DASHBOARD CÁ NHÂN HÓA CHO SINH VIÊN TRÊN HỆ THỐNG QUẢN LÝ HỌC TẬP (LMS)"/>
        <s v="Xây Dựng Module Thiết Kế Lộ Trình Học Tập Thích Ứng Theo Năng Lực (Adaptive Learning Path)"/>
        <s v="Agent tư vấn chế độ ăn uống cho bệnh nhân cường giáp"/>
        <m/>
        <s v="Đề Xuất Bài Tập Theo Tiến Độ Học Tập Của Sinh Viên"/>
        <s v="Đề xuất bài tập theo tiến độ sinh viên "/>
        <s v="Xây dựng mô hình ứng dụng ảo hoá cho doanh nghiệp"/>
        <s v="Xây dựng mô hình phân tích và đánh giá kỹ năng mềm của sinh viên dựa trên dữ liệu học tập và hoạt động nhóm"/>
        <s v="Xây dựng module phân loại trình độ sinh viên dựa trên điểm số và hành vi học tập"/>
        <s v="XÂY DỰNG MÔ HÌNH PHÂN TÍCH MỨC ĐỘ HOÀN THÀNH VÀ GỢI Í CẤP ĐỘ HỌC TẬP TIẾP THEO CHO SINH VIÊN"/>
        <s v="Rag đa phương thức cho báo cáo tài chính"/>
        <s v="Xây dựng ứng dụng hỗ trợ trẻ tự kỷ/chậm nói học qua hình ảnh (AAC App)"/>
        <s v="EatFitAI - Ứng dụng trí tuệ nhân tạo hỗ trợ theo dõi dinh dưỡng và sức khỏe"/>
        <s v=" EatFitAI - Ứng dụng trí tuệ nhân tạo hỗ trợ theo dõi dinh dưỡng và sức khỏe"/>
        <s v="Nhận diện sâu hại trên lá câu trồng"/>
        <s v="Phát hiện bệnh trên lá cây điều"/>
        <s v="hệ thống tưới tiêu thông minh"/>
        <s v="Xây dựng công cụ phát hiện đạo văn và kiểm tra độ trùng lặp văn bản tiếng Việt"/>
        <s v="Ứng dụng phát hiện bệnh lúa qua ảnh"/>
        <s v="Ứng dụng AI tạo mô tả sản phẩm tự động cho các sàn thương mại điện tử."/>
        <s v="Đánh giá hiệu quả và đưa ra chiến lược MKT trên sàn TMĐT"/>
        <s v="Xây dựng ứng dụng di động phân loại chất lượng sầu riêng Thái dựa trên hình dáng và độ chín"/>
        <s v="Hệ thống gợi ý nội thất cho nhà ở tích hợp AI"/>
        <s v="Xây dựng ứng dụng cảnh báo học vụ"/>
        <s v="SmartBuildAI-Hệ thống quản ví vlxd thông minh"/>
        <s v="Kiểm thử tự động ứng dụng Web sử dụng Playwright "/>
        <s v="SmartBuildAI - Hệ thống quản lí cửa hàng VLXD thông minh"/>
        <s v="Quản lý CV"/>
        <s v="ỨNG DỤNG WEB TỰ ĐỘNG TẠO CÂU HỎI TRẮC NGHIỆM TỪ TÀI LIỆU "/>
        <s v="Xây dựng ứng dụng điện thoại di động học Kanji"/>
        <s v="XÂY DỰNG HỆ THỐNG ĐIỂM DANH TỰ ĐỘNG BẰNG WIFI"/>
        <s v="Hệ thống học tập thông minh với API GEMINI "/>
        <s v="Xây dựng ứng dụng phát hiện và phân loại Deepfake trên video. "/>
        <s v="ỨNG DỤNG AI  TẠO MÔ TẢ SẢN Phẩm TỰ ĐỘNG CHO CÁC SÀN THƯƠNG MẠI ĐIỆN TỬ"/>
        <s v="Liêt kê và đề xuất phương án ngăn chặn tấn công của Mysql (8.0)"/>
        <s v="Xây dựng kênh truyền thông số về giải pháp AI trên nền tảng TikTok"/>
        <s v="Xây dựng ứng dụng di động phân loại chất lượng sầu riêng Thái dựa trên hình dáng và độ chín."/>
        <s v="Phát hiện lỗi bề mặt bằng mạng cnn( ốc vít)"/>
        <s v="Tạo Giọng Nói Nhân Bản (Voice Cloning)"/>
        <s v="GIẢI PHÁP GỢI Ý SẢN PHẨM BÁN HÀNG THÔNG MINH"/>
        <s v="Hệ thống đặt món và quản lý quy trình nhà hàng"/>
        <s v="Hệ Thống gợi ý cho ngoại thất căn nhà"/>
        <s v="Quản lý kho"/>
        <s v="Ứng dụng hỗ trợ người bệnh "/>
        <s v="Website bán máy Laptop,PC,điện thoại."/>
        <s v="ỨNG DỤNG CHIA SẺ KINH NGHIỆM DU LỊCH"/>
        <s v="EventAI – Nền tảng quản lý sự kiện ứng dụng trí tuệ nhân tạo"/>
        <s v="Ứng dụng gợi ý thực đơn ăn uống lành mạnh"/>
        <s v="Ứng Dụng Kết Nối Người Bán Hàng Nhỏ Lẻ"/>
        <s v="Web quản lý tài chính và gợi ý tiết kiệm"/>
        <s v="Phân loại trình độ sinh viên dựa trên điểm số và hành vi học tập"/>
        <s v="ứng dụng hỗ trợ người bệnh"/>
        <s v="Hệ thống học tập thông minh với API GEMINI"/>
        <s v="Food AI For Gym Members"/>
        <s v="Website bán quần áo"/>
        <s v="Gợi ý ngoại thất cho căn nhà"/>
        <s v="Xây dựng hệ thống tự động hóa kiểm thử phần mềm sử dụng Playwright"/>
        <s v="Wed quản lý tài chính và gợi ý tiết kiệm"/>
        <s v="Xây dựng hệ thống chứng nhận hóa đơn/hợp đồng điện tử trên nền tảng blockchain cho hộ kinh doanh nhỏ lẻ"/>
        <s v="Xây dựng module hệ thống gợi ý lỗi và feedback tự động trong lập trình python"/>
        <s v="Xây dựng Hệ thống CRM AI Agents cho doanh nghiệp"/>
        <s v="Quản lý khách sạn"/>
        <s v="web bán thương mại điện tử"/>
        <s v="Web Thương Mại Điện tử"/>
        <s v=" Quản lý cửa hàng"/>
        <s v="QUẢN LÝ KHÁCH SẠN TÍCH HỢP CHATBOT AI"/>
        <s v="Nghiên cứu và phát triển hệ thống Smart Home ứng dụng AI"/>
        <s v=" AI Learning Platform"/>
        <s v="Xây dựng game 2D RPG góc nhìn Top-down"/>
        <s v="Xây dựng game Rpg pixel RPG"/>
        <s v="AI Learning Platform"/>
        <s v="nnhCare - Hệ thống đặt lịch khám bệnh tích hợp AI"/>
        <s v="Xây dựng website về thời trang phong cách hàn quốc"/>
        <s v="E-LOGISTICS quản lý và phối hợp xử lý đơn hàng"/>
        <s v="MM Store"/>
        <s v="Xây dựng mô hình thương mại điện tử kinh doanh nông sản tươi sạch"/>
        <s v="Ứng dụng thương mại điện tử trong xây dựng website và mô hình startup Hộp quà tặng cá nhân hóa"/>
        <s v="Triển khai mô hình kinh donah online cho cửa hàng đồ ăn vặt chú Mập"/>
        <s v="Tath Hoạt Hình"/>
        <s v="Triển khai mô hình kinh doanh online cho cửa hàng đồ ăn vặt chú Mập"/>
        <s v="Xây dựng website thương mại điện tử cho shop thời trang trẻ em"/>
        <s v="Xây dựng website kinh doanh văn phòng phẩm trực tuyến"/>
        <s v="Đồ án Website Tiếp thị liên kết TikTok Shop"/>
        <s v="Xây dựng website thương mại điện tử và phân tích hành vi người tiêu dùng đối với sản phẩm cà phê sạch – Trường hợp thương hiệu The Bundy"/>
        <s v="Bán hàng online"/>
        <s v="Xây dựng và triển khai hệ thống sàn thương mại điện tử đa nhà bán cho thuê nhà trọ sinh viên tại khu vực Bửu Long – Biên Hòa"/>
        <s v="Xây dựng website kinh doanh phụ kiện thời trang"/>
        <s v="Triển khai mô hình kinh doanh online cho cửa hàng dầu nhớt"/>
        <s v="Xây dựng và triển khai hệ thống sàn thương mại điện tử đa nhà bán cho thuê nhà trọ sinh viên tại khu vực Bửu Long – Biên Hoà ( website/app)."/>
        <s v="Man May Store"/>
        <s v="PHÁT TRIỂN MỘT SỰ SỐNG XANH"/>
      </sharedItems>
    </cacheField>
    <cacheField name="Tracking nộp thuyết minh"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hongKe" cacheId="0" dataCaption="" compact="0" compactData="0">
  <location ref="A1:D9" firstHeaderRow="0" firstDataRow="1" firstDataCol="1"/>
  <pivotFields>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name="Studen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name="ClassID" axis="axisRow" compact="0" outline="0" multipleItemSelectionAllowed="1" showAll="0" sortType="ascending">
      <items>
        <item x="0"/>
        <item x="1"/>
        <item x="2"/>
        <item x="3"/>
        <item x="4"/>
        <item x="5"/>
        <item t="default"/>
      </items>
    </pivotField>
    <pivotField name="Last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First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Phone"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name="Đăng kí" axis="axisCol" dataField="1" compact="0" outline="0" multipleItemSelectionAllowed="1" showAll="0" sortType="ascending">
      <items>
        <item x="1"/>
        <item x="0"/>
        <item t="default"/>
      </items>
    </pivotField>
    <pivotField name="Hinh thức" compact="0" outline="0" multipleItemSelectionAllowed="1" showAll="0">
      <items>
        <item x="0"/>
        <item x="1"/>
        <item x="2"/>
        <item t="default"/>
      </items>
    </pivotField>
    <pivotField name="GVH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Xác nhận" compact="0" outline="0" multipleItemSelectionAllowed="1" showAll="0">
      <items>
        <item x="0"/>
        <item x="1"/>
        <item t="default"/>
      </items>
    </pivotField>
    <pivotField name="Tên Đề tà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Tracking nộp thuyết minh" compact="0" outline="0" multipleItemSelectionAllowed="1" showAll="0">
      <items>
        <item x="0"/>
        <item t="default"/>
      </items>
    </pivotField>
  </pivotFields>
  <rowFields>
    <field x="2"/>
  </rowFields>
  <colFields>
    <field x="6"/>
  </colFields>
  <dataFields>
    <dataField name="COUNTA of Đăng kí" fld="6" subtotal="count" baseField="0"/>
  </dataFields>
</pivotTableDefinition>
</file>

<file path=xl/pivotTables/pivotTable2.xml><?xml version="1.0" encoding="utf-8"?>
<pivotTableDefinition xmlns="http://schemas.openxmlformats.org/spreadsheetml/2006/main" name="ThongKe 2" cacheId="0" dataCaption="" compact="0" compactData="0">
  <location ref="A15:B22" firstHeaderRow="0" firstDataRow="1" firstDataCol="0"/>
  <pivotFields>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name="Studen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name="ClassID" axis="axisRow" dataField="1" compact="0" outline="0" multipleItemSelectionAllowed="1" showAll="0" sortType="ascending">
      <items>
        <item x="0"/>
        <item x="1"/>
        <item x="2"/>
        <item x="3"/>
        <item x="4"/>
        <item x="5"/>
        <item t="default"/>
      </items>
    </pivotField>
    <pivotField name="Last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First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Phone"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name="Đăng kí" compact="0" outline="0" multipleItemSelectionAllowed="1" showAll="0">
      <items>
        <item x="0"/>
        <item x="1"/>
        <item t="default"/>
      </items>
    </pivotField>
    <pivotField name="Hinh thức" compact="0" outline="0" multipleItemSelectionAllowed="1" showAll="0">
      <items>
        <item x="0"/>
        <item x="1"/>
        <item x="2"/>
        <item t="default"/>
      </items>
    </pivotField>
    <pivotField name="GVH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Xác nhận" compact="0" outline="0" multipleItemSelectionAllowed="1" showAll="0">
      <items>
        <item x="0"/>
        <item x="1"/>
        <item t="default"/>
      </items>
    </pivotField>
    <pivotField name="Tên Đề tà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Tracking nộp thuyết minh" compact="0" outline="0" multipleItemSelectionAllowed="1" showAll="0">
      <items>
        <item x="0"/>
        <item t="default"/>
      </items>
    </pivotField>
  </pivotFields>
  <rowFields>
    <field x="2"/>
  </rowFields>
  <dataFields>
    <dataField name="COUNTA of ClassID" fld="2" subtotal="count" baseField="0"/>
  </dataFields>
</pivotTableDefinition>
</file>

<file path=xl/pivotTables/pivotTable3.xml><?xml version="1.0" encoding="utf-8"?>
<pivotTableDefinition xmlns="http://schemas.openxmlformats.org/spreadsheetml/2006/main" name="ThongKe 3" cacheId="0" dataCaption="" compact="0" compactData="0">
  <location ref="A32:D37" firstHeaderRow="0" firstDataRow="1" firstDataCol="1"/>
  <pivotFields>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name="Student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name="ClassID" compact="0" outline="0" multipleItemSelectionAllowed="1" showAll="0">
      <items>
        <item x="0"/>
        <item x="1"/>
        <item x="2"/>
        <item x="3"/>
        <item x="4"/>
        <item x="5"/>
        <item t="default"/>
      </items>
    </pivotField>
    <pivotField name="Last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First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Phone"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name="Đăng kí" axis="axisCol" compact="0" outline="0" multipleItemSelectionAllowed="1" showAll="0" sortType="ascending">
      <items>
        <item x="1"/>
        <item x="0"/>
        <item t="default"/>
      </items>
    </pivotField>
    <pivotField name="Hinh thức" axis="axisRow" compact="0" outline="0" multipleItemSelectionAllowed="1" showAll="0" sortType="ascending">
      <items>
        <item x="1"/>
        <item x="2"/>
        <item x="0"/>
        <item t="default"/>
      </items>
    </pivotField>
    <pivotField name="GVH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Xác nhận" compact="0" outline="0" multipleItemSelectionAllowed="1" showAll="0">
      <items>
        <item x="0"/>
        <item x="1"/>
        <item t="default"/>
      </items>
    </pivotField>
    <pivotField name="Tên Đề tà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Tracking nộp thuyết minh" compact="0" outline="0" multipleItemSelectionAllowed="1" showAll="0">
      <items>
        <item x="0"/>
        <item t="default"/>
      </items>
    </pivotField>
  </pivotFields>
  <rowFields>
    <field x="7"/>
  </rowFields>
  <colFields>
    <field x="6"/>
  </colFields>
  <dataFields>
    <dataField name="COUNT of StudentID" fld="1" subtotal="countNums"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open?id=11GIiCnfgGWtD3WqmCkSmciCbh_qTeHE9" TargetMode="External"/><Relationship Id="rId11" Type="http://schemas.openxmlformats.org/officeDocument/2006/relationships/hyperlink" Target="https://drive.google.com/open?id=1xqrP4y-oIhkWgaYw9OptdsEYBy1mN5oH" TargetMode="External"/><Relationship Id="rId22" Type="http://schemas.openxmlformats.org/officeDocument/2006/relationships/drawing" Target="../drawings/drawing2.xml"/><Relationship Id="rId10" Type="http://schemas.openxmlformats.org/officeDocument/2006/relationships/hyperlink" Target="https://drive.google.com/open?id=1N2E5Z5z5yBjEXfCzI2l3JXO0TIBtfQeh" TargetMode="External"/><Relationship Id="rId21" Type="http://schemas.openxmlformats.org/officeDocument/2006/relationships/hyperlink" Target="https://drive.google.com/open?id=15E7mjxMlA41tq4dkK9KeF_XAONty9fen" TargetMode="External"/><Relationship Id="rId13" Type="http://schemas.openxmlformats.org/officeDocument/2006/relationships/hyperlink" Target="https://drive.google.com/open?id=1K3Vh2dFNzE17dr8VEcjw2LjSeZiCi48j" TargetMode="External"/><Relationship Id="rId12" Type="http://schemas.openxmlformats.org/officeDocument/2006/relationships/hyperlink" Target="https://drive.google.com/open?id=14bx-r0z8BodKD6dH0KVMWEWhQxKO-tNy" TargetMode="External"/><Relationship Id="rId1" Type="http://schemas.openxmlformats.org/officeDocument/2006/relationships/hyperlink" Target="https://drive.google.com/open?id=1YAhusFmQhshhGs1_-B0-1bl60g5yFswD" TargetMode="External"/><Relationship Id="rId2" Type="http://schemas.openxmlformats.org/officeDocument/2006/relationships/hyperlink" Target="https://drive.google.com/open?id=1gyl8v7g4SAh13PNPvaZtLWVnNO4tJfby" TargetMode="External"/><Relationship Id="rId3" Type="http://schemas.openxmlformats.org/officeDocument/2006/relationships/hyperlink" Target="https://drive.google.com/open?id=14nQrj64IjpPyodkoWYt5cbk-oJizdcgc" TargetMode="External"/><Relationship Id="rId4" Type="http://schemas.openxmlformats.org/officeDocument/2006/relationships/hyperlink" Target="https://drive.google.com/open?id=19gqrjxyv0eOiyRk9VTjiUwDmiY-cGX-Z" TargetMode="External"/><Relationship Id="rId9" Type="http://schemas.openxmlformats.org/officeDocument/2006/relationships/hyperlink" Target="https://drive.google.com/open?id=18oYjPAt_1FQsz-Mp0xlk9b7TjYwEuudH" TargetMode="External"/><Relationship Id="rId15" Type="http://schemas.openxmlformats.org/officeDocument/2006/relationships/hyperlink" Target="https://drive.google.com/open?id=1SMHKz5hwdAXPGFL7zJQaI7TgLwzssnpK" TargetMode="External"/><Relationship Id="rId14" Type="http://schemas.openxmlformats.org/officeDocument/2006/relationships/hyperlink" Target="https://drive.google.com/open?id=18jkiar8pwiRdpoPENe32aChMxISKWqTS" TargetMode="External"/><Relationship Id="rId17" Type="http://schemas.openxmlformats.org/officeDocument/2006/relationships/hyperlink" Target="https://drive.google.com/open?id=1ppXO0EBPgxNgfkbLT8pIUlKgWCw6EJPh" TargetMode="External"/><Relationship Id="rId16" Type="http://schemas.openxmlformats.org/officeDocument/2006/relationships/hyperlink" Target="https://drive.google.com/open?id=1_1O9NDq19-tU7dX0QiQ4tNgJXqnd_2Fu" TargetMode="External"/><Relationship Id="rId5" Type="http://schemas.openxmlformats.org/officeDocument/2006/relationships/hyperlink" Target="https://drive.google.com/open?id=1DUgez0FRBVaekQk5al1h6rsm58fDBHOq" TargetMode="External"/><Relationship Id="rId19" Type="http://schemas.openxmlformats.org/officeDocument/2006/relationships/hyperlink" Target="https://drive.google.com/open?id=1UlszVi36NgZ0E_bkrFB1mia7SvpocJc0" TargetMode="External"/><Relationship Id="rId6" Type="http://schemas.openxmlformats.org/officeDocument/2006/relationships/hyperlink" Target="https://drive.google.com/open?id=1MdOLX6HmZnSR8ggvv2-oddz-h5xYhq5z" TargetMode="External"/><Relationship Id="rId18" Type="http://schemas.openxmlformats.org/officeDocument/2006/relationships/hyperlink" Target="https://drive.google.com/open?id=1x5g1ngKBlpA0bXV00ROrLQDiOuCS0KKI" TargetMode="External"/><Relationship Id="rId7" Type="http://schemas.openxmlformats.org/officeDocument/2006/relationships/hyperlink" Target="https://drive.google.com/open?id=1yYDqFL6UemLFt0hLakEgTTlneWtOY75I" TargetMode="External"/><Relationship Id="rId8" Type="http://schemas.openxmlformats.org/officeDocument/2006/relationships/hyperlink" Target="https://drive.google.com/open?id=1diQWnuwzM-L3SsD3rrO7wdcKw4JszGIQ"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9.38"/>
    <col customWidth="1" min="3" max="3" width="7.88"/>
    <col customWidth="1" min="4" max="4" width="18.63"/>
    <col customWidth="1" min="5" max="5" width="7.25"/>
    <col customWidth="1" min="6" max="6" width="4.5"/>
    <col customWidth="1" min="7" max="7" width="9.38"/>
  </cols>
  <sheetData>
    <row r="1">
      <c r="A1" s="1" t="s">
        <v>0</v>
      </c>
      <c r="B1" s="1" t="s">
        <v>1</v>
      </c>
      <c r="C1" s="1" t="s">
        <v>2</v>
      </c>
      <c r="D1" s="1" t="s">
        <v>3</v>
      </c>
      <c r="E1" s="1" t="s">
        <v>4</v>
      </c>
      <c r="F1" s="1" t="s">
        <v>5</v>
      </c>
      <c r="G1" s="1" t="s">
        <v>6</v>
      </c>
      <c r="H1" s="1" t="s">
        <v>7</v>
      </c>
      <c r="I1" s="1" t="s">
        <v>8</v>
      </c>
    </row>
    <row r="2">
      <c r="A2" s="1">
        <f t="shared" ref="A2:A197" si="1">ROW()-1</f>
        <v>1</v>
      </c>
      <c r="B2" s="1">
        <v>1.22000002E8</v>
      </c>
      <c r="C2" s="1" t="s">
        <v>9</v>
      </c>
      <c r="D2" s="1" t="s">
        <v>10</v>
      </c>
      <c r="E2" s="1" t="s">
        <v>11</v>
      </c>
      <c r="F2" s="1" t="s">
        <v>12</v>
      </c>
      <c r="G2" s="2">
        <v>37997.0</v>
      </c>
      <c r="H2" s="1">
        <v>9.39439479E8</v>
      </c>
      <c r="I2" s="1"/>
    </row>
    <row r="3">
      <c r="A3" s="1">
        <f t="shared" si="1"/>
        <v>2</v>
      </c>
      <c r="B3" s="1">
        <v>1.22000015E8</v>
      </c>
      <c r="C3" s="1" t="s">
        <v>9</v>
      </c>
      <c r="D3" s="1" t="s">
        <v>13</v>
      </c>
      <c r="E3" s="1" t="s">
        <v>14</v>
      </c>
      <c r="F3" s="1" t="s">
        <v>12</v>
      </c>
      <c r="G3" s="1" t="s">
        <v>15</v>
      </c>
      <c r="H3" s="1">
        <v>8.24997687E8</v>
      </c>
      <c r="I3" s="1">
        <v>7.5204002778E10</v>
      </c>
    </row>
    <row r="4">
      <c r="A4" s="1">
        <f t="shared" si="1"/>
        <v>3</v>
      </c>
      <c r="B4" s="1">
        <v>1.22000057E8</v>
      </c>
      <c r="C4" s="1" t="s">
        <v>9</v>
      </c>
      <c r="D4" s="1" t="s">
        <v>16</v>
      </c>
      <c r="E4" s="1" t="s">
        <v>17</v>
      </c>
      <c r="F4" s="1" t="s">
        <v>18</v>
      </c>
      <c r="G4" s="1" t="s">
        <v>19</v>
      </c>
      <c r="H4" s="1">
        <v>9.37018921E8</v>
      </c>
      <c r="I4" s="1">
        <v>5.8303001234E10</v>
      </c>
    </row>
    <row r="5">
      <c r="A5" s="1">
        <f t="shared" si="1"/>
        <v>4</v>
      </c>
      <c r="B5" s="1">
        <v>1.2200009E8</v>
      </c>
      <c r="C5" s="1" t="s">
        <v>9</v>
      </c>
      <c r="D5" s="1" t="s">
        <v>20</v>
      </c>
      <c r="E5" s="1" t="s">
        <v>21</v>
      </c>
      <c r="F5" s="1" t="s">
        <v>12</v>
      </c>
      <c r="G5" s="1" t="s">
        <v>22</v>
      </c>
      <c r="H5" s="1">
        <v>8.39446137E8</v>
      </c>
      <c r="I5" s="1">
        <v>7.5204012276E10</v>
      </c>
    </row>
    <row r="6">
      <c r="A6" s="1">
        <f t="shared" si="1"/>
        <v>5</v>
      </c>
      <c r="B6" s="1">
        <v>1.22000093E8</v>
      </c>
      <c r="C6" s="1" t="s">
        <v>9</v>
      </c>
      <c r="D6" s="1" t="s">
        <v>23</v>
      </c>
      <c r="E6" s="1" t="s">
        <v>24</v>
      </c>
      <c r="F6" s="1" t="s">
        <v>12</v>
      </c>
      <c r="G6" s="1" t="s">
        <v>25</v>
      </c>
      <c r="H6" s="1">
        <v>7.78754895E8</v>
      </c>
      <c r="I6" s="1">
        <v>7.2204012261E10</v>
      </c>
    </row>
    <row r="7">
      <c r="A7" s="1">
        <f t="shared" si="1"/>
        <v>6</v>
      </c>
      <c r="B7" s="1">
        <v>1.22000111E8</v>
      </c>
      <c r="C7" s="1" t="s">
        <v>9</v>
      </c>
      <c r="D7" s="1" t="s">
        <v>26</v>
      </c>
      <c r="E7" s="1" t="s">
        <v>27</v>
      </c>
      <c r="F7" s="1" t="s">
        <v>12</v>
      </c>
      <c r="G7" s="1" t="s">
        <v>28</v>
      </c>
      <c r="H7" s="1">
        <v>9.73894731E8</v>
      </c>
      <c r="I7" s="1">
        <v>7.5204012577E10</v>
      </c>
    </row>
    <row r="8">
      <c r="A8" s="1">
        <f t="shared" si="1"/>
        <v>7</v>
      </c>
      <c r="B8" s="1">
        <v>1.22000209E8</v>
      </c>
      <c r="C8" s="1" t="s">
        <v>9</v>
      </c>
      <c r="D8" s="1" t="s">
        <v>29</v>
      </c>
      <c r="E8" s="1" t="s">
        <v>30</v>
      </c>
      <c r="F8" s="1" t="s">
        <v>12</v>
      </c>
      <c r="G8" s="2">
        <v>38049.0</v>
      </c>
      <c r="H8" s="1">
        <v>3.88169322E8</v>
      </c>
      <c r="I8" s="1">
        <v>5.4204009222E10</v>
      </c>
    </row>
    <row r="9">
      <c r="A9" s="1">
        <f t="shared" si="1"/>
        <v>8</v>
      </c>
      <c r="B9" s="1">
        <v>1.22000224E8</v>
      </c>
      <c r="C9" s="1" t="s">
        <v>9</v>
      </c>
      <c r="D9" s="1" t="s">
        <v>31</v>
      </c>
      <c r="E9" s="1" t="s">
        <v>32</v>
      </c>
      <c r="F9" s="1" t="s">
        <v>12</v>
      </c>
      <c r="G9" s="2">
        <v>38021.0</v>
      </c>
      <c r="H9" s="1">
        <v>3.6860965E8</v>
      </c>
      <c r="I9" s="1">
        <v>7.5204018457E10</v>
      </c>
    </row>
    <row r="10">
      <c r="A10" s="1">
        <f t="shared" si="1"/>
        <v>9</v>
      </c>
      <c r="B10" s="1">
        <v>1.22000232E8</v>
      </c>
      <c r="C10" s="1" t="s">
        <v>9</v>
      </c>
      <c r="D10" s="1" t="s">
        <v>33</v>
      </c>
      <c r="E10" s="1" t="s">
        <v>34</v>
      </c>
      <c r="F10" s="1" t="s">
        <v>12</v>
      </c>
      <c r="G10" s="1" t="s">
        <v>35</v>
      </c>
      <c r="H10" s="1">
        <v>3.56813741E8</v>
      </c>
      <c r="I10" s="1">
        <v>7.5204021608E10</v>
      </c>
    </row>
    <row r="11">
      <c r="A11" s="1">
        <f t="shared" si="1"/>
        <v>10</v>
      </c>
      <c r="B11" s="1">
        <v>1.22000246E8</v>
      </c>
      <c r="C11" s="1" t="s">
        <v>9</v>
      </c>
      <c r="D11" s="1" t="s">
        <v>36</v>
      </c>
      <c r="E11" s="1" t="s">
        <v>37</v>
      </c>
      <c r="F11" s="1" t="s">
        <v>12</v>
      </c>
      <c r="G11" s="1" t="s">
        <v>38</v>
      </c>
      <c r="H11" s="1">
        <v>9.31468624E8</v>
      </c>
      <c r="I11" s="1">
        <v>7.5204004537E10</v>
      </c>
    </row>
    <row r="12">
      <c r="A12" s="1">
        <f t="shared" si="1"/>
        <v>11</v>
      </c>
      <c r="B12" s="1">
        <v>1.22000248E8</v>
      </c>
      <c r="C12" s="1" t="s">
        <v>9</v>
      </c>
      <c r="D12" s="1" t="s">
        <v>39</v>
      </c>
      <c r="E12" s="1" t="s">
        <v>40</v>
      </c>
      <c r="F12" s="1" t="s">
        <v>12</v>
      </c>
      <c r="G12" s="2">
        <v>37996.0</v>
      </c>
      <c r="H12" s="1">
        <v>7.64077358E8</v>
      </c>
      <c r="I12" s="1">
        <v>7.520400833E10</v>
      </c>
    </row>
    <row r="13">
      <c r="A13" s="1">
        <f t="shared" si="1"/>
        <v>12</v>
      </c>
      <c r="B13" s="1">
        <v>1.22000268E8</v>
      </c>
      <c r="C13" s="1" t="s">
        <v>9</v>
      </c>
      <c r="D13" s="1" t="s">
        <v>41</v>
      </c>
      <c r="E13" s="1" t="s">
        <v>27</v>
      </c>
      <c r="F13" s="1" t="s">
        <v>12</v>
      </c>
      <c r="G13" s="1" t="s">
        <v>42</v>
      </c>
      <c r="H13" s="1">
        <v>9.84814271E8</v>
      </c>
      <c r="I13" s="1">
        <v>2.76042253E8</v>
      </c>
    </row>
    <row r="14">
      <c r="A14" s="1">
        <f t="shared" si="1"/>
        <v>13</v>
      </c>
      <c r="B14" s="1">
        <v>1.22000315E8</v>
      </c>
      <c r="C14" s="1" t="s">
        <v>9</v>
      </c>
      <c r="D14" s="1" t="s">
        <v>43</v>
      </c>
      <c r="E14" s="1" t="s">
        <v>44</v>
      </c>
      <c r="F14" s="1" t="s">
        <v>12</v>
      </c>
      <c r="G14" s="1" t="s">
        <v>45</v>
      </c>
      <c r="H14" s="1">
        <v>8.68994544E8</v>
      </c>
      <c r="I14" s="1">
        <v>7.5204013148E10</v>
      </c>
    </row>
    <row r="15">
      <c r="A15" s="1">
        <f t="shared" si="1"/>
        <v>14</v>
      </c>
      <c r="B15" s="1">
        <v>1.22000326E8</v>
      </c>
      <c r="C15" s="1" t="s">
        <v>9</v>
      </c>
      <c r="D15" s="1" t="s">
        <v>46</v>
      </c>
      <c r="E15" s="1" t="s">
        <v>47</v>
      </c>
      <c r="F15" s="1" t="s">
        <v>12</v>
      </c>
      <c r="G15" s="1" t="s">
        <v>48</v>
      </c>
      <c r="H15" s="1">
        <v>9.1117634E8</v>
      </c>
      <c r="I15" s="1">
        <v>4.520400369E10</v>
      </c>
    </row>
    <row r="16">
      <c r="A16" s="1">
        <f t="shared" si="1"/>
        <v>15</v>
      </c>
      <c r="B16" s="1">
        <v>1.22000336E8</v>
      </c>
      <c r="C16" s="1" t="s">
        <v>9</v>
      </c>
      <c r="D16" s="1" t="s">
        <v>49</v>
      </c>
      <c r="E16" s="1" t="s">
        <v>50</v>
      </c>
      <c r="F16" s="1" t="s">
        <v>12</v>
      </c>
      <c r="G16" s="1" t="s">
        <v>51</v>
      </c>
      <c r="H16" s="1">
        <v>8.88827445E8</v>
      </c>
      <c r="I16" s="1">
        <v>7.5203001146E10</v>
      </c>
    </row>
    <row r="17">
      <c r="A17" s="1">
        <f t="shared" si="1"/>
        <v>16</v>
      </c>
      <c r="B17" s="1">
        <v>1.22000343E8</v>
      </c>
      <c r="C17" s="1" t="s">
        <v>9</v>
      </c>
      <c r="D17" s="1" t="s">
        <v>52</v>
      </c>
      <c r="E17" s="1" t="s">
        <v>53</v>
      </c>
      <c r="F17" s="1" t="s">
        <v>12</v>
      </c>
      <c r="G17" s="2">
        <v>38330.0</v>
      </c>
      <c r="H17" s="1">
        <v>9.6181076E8</v>
      </c>
      <c r="I17" s="1">
        <v>7.5204003851E10</v>
      </c>
    </row>
    <row r="18">
      <c r="A18" s="1">
        <f t="shared" si="1"/>
        <v>17</v>
      </c>
      <c r="B18" s="1">
        <v>1.22000357E8</v>
      </c>
      <c r="C18" s="1" t="s">
        <v>9</v>
      </c>
      <c r="D18" s="1" t="s">
        <v>54</v>
      </c>
      <c r="E18" s="1" t="s">
        <v>55</v>
      </c>
      <c r="F18" s="1" t="s">
        <v>12</v>
      </c>
      <c r="G18" s="1" t="s">
        <v>56</v>
      </c>
      <c r="H18" s="1">
        <v>8.25493712E8</v>
      </c>
      <c r="I18" s="1">
        <v>7.5204019211E10</v>
      </c>
    </row>
    <row r="19">
      <c r="A19" s="1">
        <f t="shared" si="1"/>
        <v>18</v>
      </c>
      <c r="B19" s="1">
        <v>1.22000385E8</v>
      </c>
      <c r="C19" s="1" t="s">
        <v>9</v>
      </c>
      <c r="D19" s="1" t="s">
        <v>57</v>
      </c>
      <c r="E19" s="1" t="s">
        <v>58</v>
      </c>
      <c r="F19" s="1" t="s">
        <v>12</v>
      </c>
      <c r="G19" s="2">
        <v>38268.0</v>
      </c>
      <c r="H19" s="1">
        <v>9.82786983E8</v>
      </c>
      <c r="I19" s="1">
        <v>7.5204014281E10</v>
      </c>
    </row>
    <row r="20">
      <c r="A20" s="1">
        <f t="shared" si="1"/>
        <v>19</v>
      </c>
      <c r="B20" s="1">
        <v>1.22000386E8</v>
      </c>
      <c r="C20" s="1" t="s">
        <v>9</v>
      </c>
      <c r="D20" s="1" t="s">
        <v>59</v>
      </c>
      <c r="E20" s="1" t="s">
        <v>60</v>
      </c>
      <c r="F20" s="1" t="s">
        <v>12</v>
      </c>
      <c r="G20" s="1" t="s">
        <v>61</v>
      </c>
      <c r="H20" s="1">
        <v>9.14753165E8</v>
      </c>
      <c r="I20" s="1">
        <v>7.5204007239E10</v>
      </c>
    </row>
    <row r="21">
      <c r="A21" s="1">
        <f t="shared" si="1"/>
        <v>20</v>
      </c>
      <c r="B21" s="1">
        <v>1.22000404E8</v>
      </c>
      <c r="C21" s="1" t="s">
        <v>9</v>
      </c>
      <c r="D21" s="1" t="s">
        <v>62</v>
      </c>
      <c r="E21" s="1" t="s">
        <v>63</v>
      </c>
      <c r="F21" s="1" t="s">
        <v>12</v>
      </c>
      <c r="G21" s="2">
        <v>38025.0</v>
      </c>
      <c r="H21" s="1">
        <v>8.48180018E8</v>
      </c>
      <c r="I21" s="1">
        <v>7.5204007156E10</v>
      </c>
    </row>
    <row r="22">
      <c r="A22" s="1">
        <f t="shared" si="1"/>
        <v>21</v>
      </c>
      <c r="B22" s="1">
        <v>1.22000455E8</v>
      </c>
      <c r="C22" s="1" t="s">
        <v>9</v>
      </c>
      <c r="D22" s="1" t="s">
        <v>64</v>
      </c>
      <c r="E22" s="1" t="s">
        <v>65</v>
      </c>
      <c r="F22" s="1" t="s">
        <v>12</v>
      </c>
      <c r="G22" s="1" t="s">
        <v>66</v>
      </c>
      <c r="H22" s="1">
        <v>3.72666743E8</v>
      </c>
      <c r="I22" s="1">
        <v>7.5202014852E10</v>
      </c>
    </row>
    <row r="23">
      <c r="A23" s="1">
        <f t="shared" si="1"/>
        <v>22</v>
      </c>
      <c r="B23" s="1">
        <v>1.2200049E8</v>
      </c>
      <c r="C23" s="1" t="s">
        <v>9</v>
      </c>
      <c r="D23" s="1" t="s">
        <v>67</v>
      </c>
      <c r="E23" s="1" t="s">
        <v>68</v>
      </c>
      <c r="F23" s="1" t="s">
        <v>12</v>
      </c>
      <c r="G23" s="2">
        <v>38140.0</v>
      </c>
      <c r="H23" s="1">
        <v>9.08998503E8</v>
      </c>
      <c r="I23" s="1">
        <v>7.52040109E10</v>
      </c>
    </row>
    <row r="24">
      <c r="A24" s="1">
        <f t="shared" si="1"/>
        <v>23</v>
      </c>
      <c r="B24" s="1">
        <v>1.2200052E8</v>
      </c>
      <c r="C24" s="1" t="s">
        <v>9</v>
      </c>
      <c r="D24" s="1" t="s">
        <v>69</v>
      </c>
      <c r="E24" s="1" t="s">
        <v>70</v>
      </c>
      <c r="F24" s="1" t="s">
        <v>12</v>
      </c>
      <c r="G24" s="1" t="s">
        <v>71</v>
      </c>
      <c r="H24" s="1">
        <v>9.3105984E8</v>
      </c>
      <c r="I24" s="1">
        <v>9.1204017115E10</v>
      </c>
    </row>
    <row r="25">
      <c r="A25" s="1">
        <f t="shared" si="1"/>
        <v>24</v>
      </c>
      <c r="B25" s="1">
        <v>1.22000598E8</v>
      </c>
      <c r="C25" s="1" t="s">
        <v>9</v>
      </c>
      <c r="D25" s="1" t="s">
        <v>72</v>
      </c>
      <c r="E25" s="1" t="s">
        <v>55</v>
      </c>
      <c r="F25" s="1" t="s">
        <v>12</v>
      </c>
      <c r="G25" s="1" t="s">
        <v>48</v>
      </c>
      <c r="H25" s="1">
        <v>3.64064731E8</v>
      </c>
      <c r="I25" s="1">
        <v>7.5204006039E10</v>
      </c>
    </row>
    <row r="26">
      <c r="A26" s="1">
        <f t="shared" si="1"/>
        <v>25</v>
      </c>
      <c r="B26" s="1">
        <v>1.22000601E8</v>
      </c>
      <c r="C26" s="1" t="s">
        <v>9</v>
      </c>
      <c r="D26" s="1" t="s">
        <v>73</v>
      </c>
      <c r="E26" s="1" t="s">
        <v>74</v>
      </c>
      <c r="F26" s="1" t="s">
        <v>12</v>
      </c>
      <c r="G26" s="1" t="s">
        <v>75</v>
      </c>
      <c r="H26" s="1">
        <v>3.35520911E8</v>
      </c>
      <c r="I26" s="1">
        <v>7.5204008783E10</v>
      </c>
    </row>
    <row r="27">
      <c r="A27" s="1">
        <f t="shared" si="1"/>
        <v>26</v>
      </c>
      <c r="B27" s="1">
        <v>1.22000682E8</v>
      </c>
      <c r="C27" s="1" t="s">
        <v>9</v>
      </c>
      <c r="D27" s="1" t="s">
        <v>73</v>
      </c>
      <c r="E27" s="1" t="s">
        <v>76</v>
      </c>
      <c r="F27" s="1" t="s">
        <v>12</v>
      </c>
      <c r="G27" s="1" t="s">
        <v>77</v>
      </c>
      <c r="H27" s="1">
        <v>8.24646679E8</v>
      </c>
      <c r="I27" s="1">
        <v>8.7204019062E10</v>
      </c>
    </row>
    <row r="28">
      <c r="A28" s="1">
        <f t="shared" si="1"/>
        <v>27</v>
      </c>
      <c r="B28" s="1">
        <v>1.2200097E8</v>
      </c>
      <c r="C28" s="1" t="s">
        <v>9</v>
      </c>
      <c r="D28" s="1" t="s">
        <v>78</v>
      </c>
      <c r="E28" s="1" t="s">
        <v>76</v>
      </c>
      <c r="F28" s="1" t="s">
        <v>12</v>
      </c>
      <c r="G28" s="1" t="s">
        <v>79</v>
      </c>
      <c r="H28" s="1">
        <v>9.6618692E8</v>
      </c>
      <c r="I28" s="1">
        <v>2.72985046E8</v>
      </c>
    </row>
    <row r="29">
      <c r="A29" s="1">
        <f t="shared" si="1"/>
        <v>28</v>
      </c>
      <c r="B29" s="1">
        <v>1.22001011E8</v>
      </c>
      <c r="C29" s="1" t="s">
        <v>9</v>
      </c>
      <c r="D29" s="1" t="s">
        <v>80</v>
      </c>
      <c r="E29" s="1" t="s">
        <v>81</v>
      </c>
      <c r="F29" s="1" t="s">
        <v>12</v>
      </c>
      <c r="G29" s="2">
        <v>37989.0</v>
      </c>
      <c r="H29" s="1">
        <v>3.67075722E8</v>
      </c>
      <c r="I29" s="1">
        <v>3.020400667E10</v>
      </c>
    </row>
    <row r="30">
      <c r="A30" s="1">
        <f t="shared" si="1"/>
        <v>29</v>
      </c>
      <c r="B30" s="1">
        <v>1.22001282E8</v>
      </c>
      <c r="C30" s="1" t="s">
        <v>9</v>
      </c>
      <c r="D30" s="1" t="s">
        <v>82</v>
      </c>
      <c r="E30" s="1" t="s">
        <v>83</v>
      </c>
      <c r="F30" s="1" t="s">
        <v>12</v>
      </c>
      <c r="G30" s="2">
        <v>38211.0</v>
      </c>
      <c r="H30" s="1">
        <v>9.76541503E8</v>
      </c>
      <c r="I30" s="1">
        <v>7.520401242E10</v>
      </c>
    </row>
    <row r="31">
      <c r="A31" s="1">
        <f t="shared" si="1"/>
        <v>30</v>
      </c>
      <c r="B31" s="1">
        <v>1.2200135E8</v>
      </c>
      <c r="C31" s="1" t="s">
        <v>9</v>
      </c>
      <c r="D31" s="1" t="s">
        <v>84</v>
      </c>
      <c r="E31" s="1" t="s">
        <v>85</v>
      </c>
      <c r="F31" s="1" t="s">
        <v>12</v>
      </c>
      <c r="G31" s="1" t="s">
        <v>86</v>
      </c>
      <c r="H31" s="1">
        <v>3.25906617E8</v>
      </c>
      <c r="I31" s="1">
        <v>6.7204000342E10</v>
      </c>
    </row>
    <row r="32">
      <c r="A32" s="1">
        <f t="shared" si="1"/>
        <v>31</v>
      </c>
      <c r="B32" s="1">
        <v>1.22001361E8</v>
      </c>
      <c r="C32" s="1" t="s">
        <v>9</v>
      </c>
      <c r="D32" s="1" t="s">
        <v>87</v>
      </c>
      <c r="E32" s="1" t="s">
        <v>76</v>
      </c>
      <c r="F32" s="1" t="s">
        <v>12</v>
      </c>
      <c r="G32" s="1" t="s">
        <v>88</v>
      </c>
      <c r="H32" s="1">
        <v>9.61763318E8</v>
      </c>
      <c r="I32" s="1">
        <v>1.87913543E8</v>
      </c>
    </row>
    <row r="33">
      <c r="A33" s="1">
        <f t="shared" si="1"/>
        <v>32</v>
      </c>
      <c r="B33" s="1">
        <v>1.21000156E8</v>
      </c>
      <c r="C33" s="1" t="s">
        <v>89</v>
      </c>
      <c r="D33" s="1" t="s">
        <v>90</v>
      </c>
      <c r="E33" s="1" t="s">
        <v>91</v>
      </c>
      <c r="F33" s="1" t="s">
        <v>12</v>
      </c>
      <c r="G33" s="1" t="s">
        <v>92</v>
      </c>
      <c r="H33" s="1">
        <v>9.48418743E8</v>
      </c>
      <c r="I33" s="1">
        <v>2.7605751E8</v>
      </c>
    </row>
    <row r="34">
      <c r="A34" s="1">
        <f t="shared" si="1"/>
        <v>33</v>
      </c>
      <c r="B34" s="1">
        <v>1.2100124E8</v>
      </c>
      <c r="C34" s="1" t="s">
        <v>89</v>
      </c>
      <c r="D34" s="1" t="s">
        <v>93</v>
      </c>
      <c r="E34" s="1" t="s">
        <v>27</v>
      </c>
      <c r="F34" s="1" t="s">
        <v>12</v>
      </c>
      <c r="G34" s="2">
        <v>37298.0</v>
      </c>
      <c r="H34" s="1">
        <v>9.02186519E8</v>
      </c>
      <c r="I34" s="1">
        <v>2.7296595E8</v>
      </c>
    </row>
    <row r="35">
      <c r="A35" s="1">
        <f t="shared" si="1"/>
        <v>34</v>
      </c>
      <c r="B35" s="1">
        <v>1.22000118E8</v>
      </c>
      <c r="C35" s="1" t="s">
        <v>89</v>
      </c>
      <c r="D35" s="1" t="s">
        <v>94</v>
      </c>
      <c r="E35" s="1" t="s">
        <v>95</v>
      </c>
      <c r="F35" s="1" t="s">
        <v>12</v>
      </c>
      <c r="G35" s="2">
        <v>38111.0</v>
      </c>
      <c r="H35" s="1">
        <v>9.63296424E8</v>
      </c>
      <c r="I35" s="1">
        <v>7.5204016838E10</v>
      </c>
    </row>
    <row r="36">
      <c r="A36" s="1">
        <f t="shared" si="1"/>
        <v>35</v>
      </c>
      <c r="B36" s="1">
        <v>1.22000163E8</v>
      </c>
      <c r="C36" s="1" t="s">
        <v>89</v>
      </c>
      <c r="D36" s="1" t="s">
        <v>96</v>
      </c>
      <c r="E36" s="1" t="s">
        <v>55</v>
      </c>
      <c r="F36" s="1" t="s">
        <v>12</v>
      </c>
      <c r="G36" s="1" t="s">
        <v>97</v>
      </c>
      <c r="H36" s="1">
        <v>9.33064408E8</v>
      </c>
      <c r="I36" s="1">
        <v>8.0204010592E10</v>
      </c>
    </row>
    <row r="37">
      <c r="A37" s="1">
        <f t="shared" si="1"/>
        <v>36</v>
      </c>
      <c r="B37" s="1">
        <v>1.22000181E8</v>
      </c>
      <c r="C37" s="1" t="s">
        <v>89</v>
      </c>
      <c r="D37" s="1" t="s">
        <v>98</v>
      </c>
      <c r="E37" s="1" t="s">
        <v>99</v>
      </c>
      <c r="F37" s="1" t="s">
        <v>12</v>
      </c>
      <c r="G37" s="1" t="s">
        <v>100</v>
      </c>
      <c r="H37" s="1">
        <v>8.65864336E8</v>
      </c>
      <c r="I37" s="1">
        <v>4.0204026723E10</v>
      </c>
    </row>
    <row r="38">
      <c r="A38" s="1">
        <f t="shared" si="1"/>
        <v>37</v>
      </c>
      <c r="B38" s="1">
        <v>1.22000273E8</v>
      </c>
      <c r="C38" s="1" t="s">
        <v>89</v>
      </c>
      <c r="D38" s="1" t="s">
        <v>101</v>
      </c>
      <c r="E38" s="1" t="s">
        <v>102</v>
      </c>
      <c r="F38" s="1" t="s">
        <v>12</v>
      </c>
      <c r="G38" s="2">
        <v>38240.0</v>
      </c>
      <c r="H38" s="1">
        <v>9.17693916E8</v>
      </c>
      <c r="I38" s="1">
        <v>7.5204022693E10</v>
      </c>
    </row>
    <row r="39">
      <c r="A39" s="1">
        <f t="shared" si="1"/>
        <v>38</v>
      </c>
      <c r="B39" s="1">
        <v>1.22000331E8</v>
      </c>
      <c r="C39" s="1" t="s">
        <v>89</v>
      </c>
      <c r="D39" s="1" t="s">
        <v>103</v>
      </c>
      <c r="E39" s="1" t="s">
        <v>104</v>
      </c>
      <c r="F39" s="1" t="s">
        <v>12</v>
      </c>
      <c r="G39" s="1" t="s">
        <v>105</v>
      </c>
      <c r="H39" s="1">
        <v>3.69246243E8</v>
      </c>
      <c r="I39" s="1">
        <v>7.4204003284E10</v>
      </c>
    </row>
    <row r="40">
      <c r="A40" s="1">
        <f t="shared" si="1"/>
        <v>39</v>
      </c>
      <c r="B40" s="1">
        <v>1.22000421E8</v>
      </c>
      <c r="C40" s="1" t="s">
        <v>89</v>
      </c>
      <c r="D40" s="1" t="s">
        <v>106</v>
      </c>
      <c r="E40" s="1" t="s">
        <v>107</v>
      </c>
      <c r="F40" s="1" t="s">
        <v>12</v>
      </c>
      <c r="G40" s="2">
        <v>37989.0</v>
      </c>
      <c r="H40" s="1">
        <v>3.46980771E8</v>
      </c>
      <c r="I40" s="1">
        <v>7.5204002569E10</v>
      </c>
    </row>
    <row r="41">
      <c r="A41" s="1">
        <f t="shared" si="1"/>
        <v>40</v>
      </c>
      <c r="B41" s="1">
        <v>1.22000537E8</v>
      </c>
      <c r="C41" s="1" t="s">
        <v>89</v>
      </c>
      <c r="D41" s="1" t="s">
        <v>108</v>
      </c>
      <c r="E41" s="1" t="s">
        <v>109</v>
      </c>
      <c r="F41" s="1" t="s">
        <v>12</v>
      </c>
      <c r="G41" s="2">
        <v>38170.0</v>
      </c>
      <c r="H41" s="1">
        <v>3.57976359E8</v>
      </c>
      <c r="I41" s="1">
        <v>2.72984344E8</v>
      </c>
    </row>
    <row r="42">
      <c r="A42" s="1">
        <f t="shared" si="1"/>
        <v>41</v>
      </c>
      <c r="B42" s="1">
        <v>1.2200055E8</v>
      </c>
      <c r="C42" s="1" t="s">
        <v>89</v>
      </c>
      <c r="D42" s="1" t="s">
        <v>110</v>
      </c>
      <c r="E42" s="1" t="s">
        <v>111</v>
      </c>
      <c r="F42" s="1" t="s">
        <v>12</v>
      </c>
      <c r="G42" s="1" t="s">
        <v>112</v>
      </c>
      <c r="H42" s="1">
        <v>3.48214308E8</v>
      </c>
      <c r="I42" s="1">
        <v>3.7204006491E10</v>
      </c>
    </row>
    <row r="43">
      <c r="A43" s="1">
        <f t="shared" si="1"/>
        <v>42</v>
      </c>
      <c r="B43" s="1">
        <v>1.22000575E8</v>
      </c>
      <c r="C43" s="1" t="s">
        <v>89</v>
      </c>
      <c r="D43" s="1" t="s">
        <v>113</v>
      </c>
      <c r="E43" s="1" t="s">
        <v>114</v>
      </c>
      <c r="F43" s="1" t="s">
        <v>18</v>
      </c>
      <c r="G43" s="2">
        <v>38143.0</v>
      </c>
      <c r="H43" s="1">
        <v>9.3738468E8</v>
      </c>
      <c r="I43" s="1">
        <v>7.530402488E10</v>
      </c>
    </row>
    <row r="44">
      <c r="A44" s="1">
        <f t="shared" si="1"/>
        <v>43</v>
      </c>
      <c r="B44" s="1">
        <v>1.22000584E8</v>
      </c>
      <c r="C44" s="1" t="s">
        <v>89</v>
      </c>
      <c r="D44" s="1" t="s">
        <v>115</v>
      </c>
      <c r="E44" s="1" t="s">
        <v>116</v>
      </c>
      <c r="F44" s="1" t="s">
        <v>12</v>
      </c>
      <c r="G44" s="1" t="s">
        <v>117</v>
      </c>
      <c r="H44" s="1">
        <v>3.2830184E8</v>
      </c>
      <c r="I44" s="1">
        <v>5.4204010051E10</v>
      </c>
    </row>
    <row r="45">
      <c r="A45" s="1">
        <f t="shared" si="1"/>
        <v>44</v>
      </c>
      <c r="B45" s="1">
        <v>1.22000644E8</v>
      </c>
      <c r="C45" s="1" t="s">
        <v>89</v>
      </c>
      <c r="D45" s="1" t="s">
        <v>118</v>
      </c>
      <c r="E45" s="1" t="s">
        <v>119</v>
      </c>
      <c r="F45" s="1" t="s">
        <v>12</v>
      </c>
      <c r="G45" s="2">
        <v>38204.0</v>
      </c>
      <c r="H45" s="1">
        <v>3.88963814E8</v>
      </c>
      <c r="I45" s="1">
        <v>8.9204008523E10</v>
      </c>
    </row>
    <row r="46">
      <c r="A46" s="1">
        <f t="shared" si="1"/>
        <v>45</v>
      </c>
      <c r="B46" s="1">
        <v>1.22000755E8</v>
      </c>
      <c r="C46" s="1" t="s">
        <v>89</v>
      </c>
      <c r="D46" s="1" t="s">
        <v>120</v>
      </c>
      <c r="E46" s="1" t="s">
        <v>121</v>
      </c>
      <c r="F46" s="1" t="s">
        <v>12</v>
      </c>
      <c r="G46" s="2">
        <v>38298.0</v>
      </c>
      <c r="H46" s="1">
        <v>5.84285823E8</v>
      </c>
      <c r="I46" s="1">
        <v>3.8204002385E10</v>
      </c>
    </row>
    <row r="47">
      <c r="A47" s="1">
        <f t="shared" si="1"/>
        <v>46</v>
      </c>
      <c r="B47" s="1">
        <v>1.22000757E8</v>
      </c>
      <c r="C47" s="1" t="s">
        <v>89</v>
      </c>
      <c r="D47" s="1" t="s">
        <v>10</v>
      </c>
      <c r="E47" s="1" t="s">
        <v>63</v>
      </c>
      <c r="F47" s="1" t="s">
        <v>12</v>
      </c>
      <c r="G47" s="2">
        <v>38268.0</v>
      </c>
      <c r="H47" s="1">
        <v>8.33911375E8</v>
      </c>
      <c r="I47" s="1">
        <v>7.4204006088E10</v>
      </c>
    </row>
    <row r="48">
      <c r="A48" s="1">
        <f t="shared" si="1"/>
        <v>47</v>
      </c>
      <c r="B48" s="1">
        <v>1.22000759E8</v>
      </c>
      <c r="C48" s="1" t="s">
        <v>89</v>
      </c>
      <c r="D48" s="1" t="s">
        <v>122</v>
      </c>
      <c r="E48" s="1" t="s">
        <v>109</v>
      </c>
      <c r="F48" s="1" t="s">
        <v>12</v>
      </c>
      <c r="G48" s="1" t="s">
        <v>123</v>
      </c>
      <c r="H48" s="1">
        <v>9.73212834E8</v>
      </c>
      <c r="I48" s="1">
        <v>7.520402444E10</v>
      </c>
    </row>
    <row r="49">
      <c r="A49" s="1">
        <f t="shared" si="1"/>
        <v>48</v>
      </c>
      <c r="B49" s="1">
        <v>1.2200076E8</v>
      </c>
      <c r="C49" s="1" t="s">
        <v>89</v>
      </c>
      <c r="D49" s="1" t="s">
        <v>124</v>
      </c>
      <c r="E49" s="1" t="s">
        <v>125</v>
      </c>
      <c r="F49" s="1" t="s">
        <v>12</v>
      </c>
      <c r="G49" s="2">
        <v>38292.0</v>
      </c>
      <c r="H49" s="1">
        <v>9.85078964E8</v>
      </c>
      <c r="I49" s="1">
        <v>7.5204021824E10</v>
      </c>
    </row>
    <row r="50">
      <c r="A50" s="1">
        <f t="shared" si="1"/>
        <v>49</v>
      </c>
      <c r="B50" s="1">
        <v>1.220008E8</v>
      </c>
      <c r="C50" s="1" t="s">
        <v>89</v>
      </c>
      <c r="D50" s="1" t="s">
        <v>126</v>
      </c>
      <c r="E50" s="1" t="s">
        <v>127</v>
      </c>
      <c r="F50" s="1" t="s">
        <v>12</v>
      </c>
      <c r="G50" s="1" t="s">
        <v>128</v>
      </c>
      <c r="H50" s="1">
        <v>7.87696539E8</v>
      </c>
      <c r="I50" s="1">
        <v>5.4204000944E10</v>
      </c>
    </row>
    <row r="51">
      <c r="A51" s="1">
        <f t="shared" si="1"/>
        <v>50</v>
      </c>
      <c r="B51" s="1">
        <v>1.22000805E8</v>
      </c>
      <c r="C51" s="1" t="s">
        <v>89</v>
      </c>
      <c r="D51" s="1" t="s">
        <v>129</v>
      </c>
      <c r="E51" s="1" t="s">
        <v>14</v>
      </c>
      <c r="F51" s="1" t="s">
        <v>12</v>
      </c>
      <c r="G51" s="2">
        <v>38055.0</v>
      </c>
      <c r="H51" s="1">
        <v>3.27895817E8</v>
      </c>
      <c r="I51" s="1">
        <v>4.2204007527E10</v>
      </c>
    </row>
    <row r="52">
      <c r="A52" s="1">
        <f t="shared" si="1"/>
        <v>51</v>
      </c>
      <c r="B52" s="1">
        <v>1.22000843E8</v>
      </c>
      <c r="C52" s="1" t="s">
        <v>89</v>
      </c>
      <c r="D52" s="1" t="s">
        <v>130</v>
      </c>
      <c r="E52" s="1" t="s">
        <v>85</v>
      </c>
      <c r="F52" s="1" t="s">
        <v>12</v>
      </c>
      <c r="G52" s="2">
        <v>38049.0</v>
      </c>
      <c r="H52" s="1">
        <v>5.88845537E8</v>
      </c>
      <c r="I52" s="1">
        <v>3.8204031601E10</v>
      </c>
    </row>
    <row r="53">
      <c r="A53" s="1">
        <f t="shared" si="1"/>
        <v>52</v>
      </c>
      <c r="B53" s="1">
        <v>1.22000886E8</v>
      </c>
      <c r="C53" s="1" t="s">
        <v>89</v>
      </c>
      <c r="D53" s="1" t="s">
        <v>131</v>
      </c>
      <c r="E53" s="1" t="s">
        <v>132</v>
      </c>
      <c r="F53" s="1" t="s">
        <v>12</v>
      </c>
      <c r="G53" s="2">
        <v>38018.0</v>
      </c>
      <c r="H53" s="1">
        <v>3.87950281E8</v>
      </c>
      <c r="I53" s="1">
        <v>7.5204002717E10</v>
      </c>
    </row>
    <row r="54">
      <c r="A54" s="1">
        <f t="shared" si="1"/>
        <v>53</v>
      </c>
      <c r="B54" s="1">
        <v>1.22000917E8</v>
      </c>
      <c r="C54" s="1" t="s">
        <v>89</v>
      </c>
      <c r="D54" s="1" t="s">
        <v>133</v>
      </c>
      <c r="E54" s="1" t="s">
        <v>134</v>
      </c>
      <c r="F54" s="1" t="s">
        <v>12</v>
      </c>
      <c r="G54" s="2">
        <v>38088.0</v>
      </c>
      <c r="H54" s="1">
        <v>3.87011726E8</v>
      </c>
      <c r="I54" s="1">
        <v>7.5204007585E10</v>
      </c>
    </row>
    <row r="55">
      <c r="A55" s="1">
        <f t="shared" si="1"/>
        <v>54</v>
      </c>
      <c r="B55" s="1">
        <v>1.22001021E8</v>
      </c>
      <c r="C55" s="1" t="s">
        <v>89</v>
      </c>
      <c r="D55" s="1" t="s">
        <v>135</v>
      </c>
      <c r="E55" s="1" t="s">
        <v>30</v>
      </c>
      <c r="F55" s="1" t="s">
        <v>12</v>
      </c>
      <c r="G55" s="2">
        <v>38232.0</v>
      </c>
      <c r="H55" s="1">
        <v>3.53560594E8</v>
      </c>
      <c r="I55" s="1">
        <v>7.5204019388E10</v>
      </c>
    </row>
    <row r="56">
      <c r="A56" s="1">
        <f t="shared" si="1"/>
        <v>55</v>
      </c>
      <c r="B56" s="1">
        <v>1.22001025E8</v>
      </c>
      <c r="C56" s="1" t="s">
        <v>89</v>
      </c>
      <c r="D56" s="1" t="s">
        <v>136</v>
      </c>
      <c r="E56" s="1" t="s">
        <v>109</v>
      </c>
      <c r="F56" s="1" t="s">
        <v>12</v>
      </c>
      <c r="G56" s="1" t="s">
        <v>137</v>
      </c>
      <c r="H56" s="1">
        <v>3.52085391E8</v>
      </c>
      <c r="I56" s="1">
        <v>6.6202013899E10</v>
      </c>
    </row>
    <row r="57">
      <c r="A57" s="1">
        <f t="shared" si="1"/>
        <v>56</v>
      </c>
      <c r="B57" s="1">
        <v>1.22001067E8</v>
      </c>
      <c r="C57" s="1" t="s">
        <v>89</v>
      </c>
      <c r="D57" s="1" t="s">
        <v>138</v>
      </c>
      <c r="E57" s="1" t="s">
        <v>139</v>
      </c>
      <c r="F57" s="1" t="s">
        <v>12</v>
      </c>
      <c r="G57" s="1" t="s">
        <v>140</v>
      </c>
      <c r="H57" s="1">
        <v>3.29135161E8</v>
      </c>
      <c r="I57" s="1">
        <v>5.2204001963E10</v>
      </c>
    </row>
    <row r="58">
      <c r="A58" s="1">
        <f t="shared" si="1"/>
        <v>57</v>
      </c>
      <c r="B58" s="1">
        <v>1.22001144E8</v>
      </c>
      <c r="C58" s="1" t="s">
        <v>89</v>
      </c>
      <c r="D58" s="1" t="s">
        <v>141</v>
      </c>
      <c r="E58" s="1" t="s">
        <v>142</v>
      </c>
      <c r="F58" s="1" t="s">
        <v>12</v>
      </c>
      <c r="G58" s="1" t="s">
        <v>143</v>
      </c>
      <c r="H58" s="1">
        <v>3.45703317E8</v>
      </c>
      <c r="I58" s="1">
        <v>5.4204000824E10</v>
      </c>
    </row>
    <row r="59">
      <c r="A59" s="1">
        <f t="shared" si="1"/>
        <v>58</v>
      </c>
      <c r="B59" s="1">
        <v>1.22001208E8</v>
      </c>
      <c r="C59" s="1" t="s">
        <v>89</v>
      </c>
      <c r="D59" s="1" t="s">
        <v>144</v>
      </c>
      <c r="E59" s="1" t="s">
        <v>12</v>
      </c>
      <c r="F59" s="1" t="s">
        <v>12</v>
      </c>
      <c r="G59" s="1" t="s">
        <v>145</v>
      </c>
      <c r="H59" s="1">
        <v>3.9583476E8</v>
      </c>
      <c r="I59" s="1">
        <v>5.420400086E10</v>
      </c>
    </row>
    <row r="60">
      <c r="A60" s="1">
        <f t="shared" si="1"/>
        <v>59</v>
      </c>
      <c r="B60" s="1">
        <v>1.22001209E8</v>
      </c>
      <c r="C60" s="1" t="s">
        <v>89</v>
      </c>
      <c r="D60" s="1" t="s">
        <v>146</v>
      </c>
      <c r="E60" s="1" t="s">
        <v>30</v>
      </c>
      <c r="F60" s="1" t="s">
        <v>12</v>
      </c>
      <c r="G60" s="1" t="s">
        <v>147</v>
      </c>
      <c r="H60" s="1">
        <v>3.87204605E8</v>
      </c>
      <c r="I60" s="1">
        <v>7.5204019595E10</v>
      </c>
    </row>
    <row r="61">
      <c r="A61" s="1">
        <f t="shared" si="1"/>
        <v>60</v>
      </c>
      <c r="B61" s="1">
        <v>1.2200121E8</v>
      </c>
      <c r="C61" s="1" t="s">
        <v>89</v>
      </c>
      <c r="D61" s="1" t="s">
        <v>146</v>
      </c>
      <c r="E61" s="1" t="s">
        <v>91</v>
      </c>
      <c r="F61" s="1" t="s">
        <v>12</v>
      </c>
      <c r="G61" s="1" t="s">
        <v>147</v>
      </c>
      <c r="H61" s="1">
        <v>8.6685649E8</v>
      </c>
      <c r="I61" s="1">
        <v>7.5204004037E10</v>
      </c>
    </row>
    <row r="62">
      <c r="A62" s="1">
        <f t="shared" si="1"/>
        <v>61</v>
      </c>
      <c r="B62" s="1">
        <v>1.22001257E8</v>
      </c>
      <c r="C62" s="1" t="s">
        <v>89</v>
      </c>
      <c r="D62" s="1" t="s">
        <v>148</v>
      </c>
      <c r="E62" s="1" t="s">
        <v>63</v>
      </c>
      <c r="F62" s="1" t="s">
        <v>12</v>
      </c>
      <c r="G62" s="1" t="s">
        <v>149</v>
      </c>
      <c r="H62" s="1">
        <v>3.3998384E8</v>
      </c>
      <c r="I62" s="1">
        <v>1.203023987E9</v>
      </c>
    </row>
    <row r="63">
      <c r="A63" s="1">
        <f t="shared" si="1"/>
        <v>62</v>
      </c>
      <c r="B63" s="1">
        <v>1.22001277E8</v>
      </c>
      <c r="C63" s="1" t="s">
        <v>89</v>
      </c>
      <c r="D63" s="1" t="s">
        <v>150</v>
      </c>
      <c r="E63" s="1" t="s">
        <v>55</v>
      </c>
      <c r="F63" s="1" t="s">
        <v>12</v>
      </c>
      <c r="G63" s="1" t="s">
        <v>151</v>
      </c>
      <c r="H63" s="1">
        <v>9.71042524E8</v>
      </c>
      <c r="I63" s="1">
        <v>2.72944078E8</v>
      </c>
    </row>
    <row r="64">
      <c r="A64" s="1">
        <f t="shared" si="1"/>
        <v>63</v>
      </c>
      <c r="B64" s="1">
        <v>1.2200128E8</v>
      </c>
      <c r="C64" s="1" t="s">
        <v>89</v>
      </c>
      <c r="D64" s="1" t="s">
        <v>152</v>
      </c>
      <c r="E64" s="1" t="s">
        <v>153</v>
      </c>
      <c r="F64" s="1" t="s">
        <v>12</v>
      </c>
      <c r="G64" s="1" t="s">
        <v>117</v>
      </c>
      <c r="H64" s="1">
        <v>9.88726204E8</v>
      </c>
      <c r="I64" s="1">
        <v>3.4204011842E10</v>
      </c>
    </row>
    <row r="65">
      <c r="A65" s="1">
        <f t="shared" si="1"/>
        <v>64</v>
      </c>
      <c r="B65" s="1">
        <v>1.22001316E8</v>
      </c>
      <c r="C65" s="1" t="s">
        <v>89</v>
      </c>
      <c r="D65" s="1" t="s">
        <v>154</v>
      </c>
      <c r="E65" s="1" t="s">
        <v>155</v>
      </c>
      <c r="F65" s="1" t="s">
        <v>12</v>
      </c>
      <c r="G65" s="1" t="s">
        <v>156</v>
      </c>
      <c r="H65" s="1">
        <v>3.97493351E8</v>
      </c>
      <c r="I65" s="1">
        <v>5.4204000384E10</v>
      </c>
    </row>
    <row r="66">
      <c r="A66" s="1">
        <f t="shared" si="1"/>
        <v>65</v>
      </c>
      <c r="B66" s="1">
        <v>1.22001605E8</v>
      </c>
      <c r="C66" s="1" t="s">
        <v>89</v>
      </c>
      <c r="D66" s="1" t="s">
        <v>157</v>
      </c>
      <c r="E66" s="1" t="s">
        <v>91</v>
      </c>
      <c r="F66" s="1" t="s">
        <v>12</v>
      </c>
      <c r="G66" s="1" t="s">
        <v>158</v>
      </c>
      <c r="H66" s="1">
        <v>8.55863968E8</v>
      </c>
      <c r="I66" s="1"/>
    </row>
    <row r="67">
      <c r="A67" s="1">
        <f t="shared" si="1"/>
        <v>66</v>
      </c>
      <c r="B67" s="1">
        <v>1.22000042E8</v>
      </c>
      <c r="C67" s="1" t="s">
        <v>159</v>
      </c>
      <c r="D67" s="1" t="s">
        <v>160</v>
      </c>
      <c r="E67" s="1" t="s">
        <v>161</v>
      </c>
      <c r="F67" s="1" t="s">
        <v>12</v>
      </c>
      <c r="G67" s="1" t="s">
        <v>162</v>
      </c>
      <c r="H67" s="1">
        <v>9.82828004E8</v>
      </c>
      <c r="I67" s="1">
        <v>7.5204001699E10</v>
      </c>
    </row>
    <row r="68">
      <c r="A68" s="1">
        <f t="shared" si="1"/>
        <v>67</v>
      </c>
      <c r="B68" s="1">
        <v>1.22000053E8</v>
      </c>
      <c r="C68" s="1" t="s">
        <v>159</v>
      </c>
      <c r="D68" s="1" t="s">
        <v>163</v>
      </c>
      <c r="E68" s="1" t="s">
        <v>164</v>
      </c>
      <c r="F68" s="1" t="s">
        <v>12</v>
      </c>
      <c r="G68" s="2">
        <v>38322.0</v>
      </c>
      <c r="H68" s="1">
        <v>3.78165438E8</v>
      </c>
      <c r="I68" s="1">
        <v>7.0204009594E10</v>
      </c>
    </row>
    <row r="69">
      <c r="A69" s="1">
        <f t="shared" si="1"/>
        <v>68</v>
      </c>
      <c r="B69" s="1">
        <v>1.22000063E8</v>
      </c>
      <c r="C69" s="1" t="s">
        <v>159</v>
      </c>
      <c r="D69" s="1" t="s">
        <v>165</v>
      </c>
      <c r="E69" s="1" t="s">
        <v>166</v>
      </c>
      <c r="F69" s="1" t="s">
        <v>18</v>
      </c>
      <c r="G69" s="1" t="s">
        <v>167</v>
      </c>
      <c r="H69" s="1">
        <v>3.47597434E8</v>
      </c>
      <c r="I69" s="1">
        <v>7.5304019036E10</v>
      </c>
    </row>
    <row r="70">
      <c r="A70" s="1">
        <f t="shared" si="1"/>
        <v>69</v>
      </c>
      <c r="B70" s="1">
        <v>1.22000153E8</v>
      </c>
      <c r="C70" s="1" t="s">
        <v>159</v>
      </c>
      <c r="D70" s="1" t="s">
        <v>168</v>
      </c>
      <c r="E70" s="1" t="s">
        <v>169</v>
      </c>
      <c r="F70" s="1" t="s">
        <v>12</v>
      </c>
      <c r="G70" s="2">
        <v>38200.0</v>
      </c>
      <c r="H70" s="1">
        <v>9.84707674E8</v>
      </c>
      <c r="I70" s="1">
        <v>7.5204017982E10</v>
      </c>
    </row>
    <row r="71">
      <c r="A71" s="1">
        <f t="shared" si="1"/>
        <v>70</v>
      </c>
      <c r="B71" s="1">
        <v>1.22000156E8</v>
      </c>
      <c r="C71" s="1" t="s">
        <v>159</v>
      </c>
      <c r="D71" s="1" t="s">
        <v>170</v>
      </c>
      <c r="E71" s="1" t="s">
        <v>171</v>
      </c>
      <c r="F71" s="1" t="s">
        <v>12</v>
      </c>
      <c r="G71" s="1" t="s">
        <v>15</v>
      </c>
      <c r="H71" s="1">
        <v>9.78125614E8</v>
      </c>
      <c r="I71" s="1">
        <v>1.9204003014E10</v>
      </c>
    </row>
    <row r="72">
      <c r="A72" s="1">
        <f t="shared" si="1"/>
        <v>71</v>
      </c>
      <c r="B72" s="1">
        <v>1.22000186E8</v>
      </c>
      <c r="C72" s="1" t="s">
        <v>159</v>
      </c>
      <c r="D72" s="1" t="s">
        <v>172</v>
      </c>
      <c r="E72" s="1" t="s">
        <v>104</v>
      </c>
      <c r="F72" s="1" t="s">
        <v>12</v>
      </c>
      <c r="G72" s="1" t="s">
        <v>173</v>
      </c>
      <c r="H72" s="1">
        <v>9.83821884E8</v>
      </c>
      <c r="I72" s="1">
        <v>7.5204017625E10</v>
      </c>
    </row>
    <row r="73">
      <c r="A73" s="1">
        <f t="shared" si="1"/>
        <v>72</v>
      </c>
      <c r="B73" s="1">
        <v>1.2200022E8</v>
      </c>
      <c r="C73" s="1" t="s">
        <v>159</v>
      </c>
      <c r="D73" s="1" t="s">
        <v>174</v>
      </c>
      <c r="E73" s="1" t="s">
        <v>175</v>
      </c>
      <c r="F73" s="1" t="s">
        <v>12</v>
      </c>
      <c r="G73" s="1" t="s">
        <v>176</v>
      </c>
      <c r="H73" s="1">
        <v>9.82675191E8</v>
      </c>
      <c r="I73" s="1">
        <v>2.76027915E8</v>
      </c>
    </row>
    <row r="74">
      <c r="A74" s="1">
        <f t="shared" si="1"/>
        <v>73</v>
      </c>
      <c r="B74" s="1">
        <v>1.22000227E8</v>
      </c>
      <c r="C74" s="1" t="s">
        <v>159</v>
      </c>
      <c r="D74" s="1" t="s">
        <v>177</v>
      </c>
      <c r="E74" s="1" t="s">
        <v>178</v>
      </c>
      <c r="F74" s="1" t="s">
        <v>12</v>
      </c>
      <c r="G74" s="1" t="s">
        <v>179</v>
      </c>
      <c r="H74" s="1">
        <v>3.93972494E8</v>
      </c>
      <c r="I74" s="1">
        <v>2.76128049E8</v>
      </c>
    </row>
    <row r="75">
      <c r="A75" s="1">
        <f t="shared" si="1"/>
        <v>74</v>
      </c>
      <c r="B75" s="1">
        <v>1.22000275E8</v>
      </c>
      <c r="C75" s="1" t="s">
        <v>159</v>
      </c>
      <c r="D75" s="1" t="s">
        <v>180</v>
      </c>
      <c r="E75" s="1" t="s">
        <v>107</v>
      </c>
      <c r="F75" s="1" t="s">
        <v>12</v>
      </c>
      <c r="G75" s="1" t="s">
        <v>97</v>
      </c>
      <c r="H75" s="1">
        <v>7.06815466E8</v>
      </c>
      <c r="I75" s="1">
        <v>7.520401554E10</v>
      </c>
    </row>
    <row r="76">
      <c r="A76" s="1">
        <f t="shared" si="1"/>
        <v>75</v>
      </c>
      <c r="B76" s="1">
        <v>1.22000295E8</v>
      </c>
      <c r="C76" s="1" t="s">
        <v>159</v>
      </c>
      <c r="D76" s="1" t="s">
        <v>181</v>
      </c>
      <c r="E76" s="1" t="s">
        <v>37</v>
      </c>
      <c r="F76" s="1" t="s">
        <v>12</v>
      </c>
      <c r="G76" s="1" t="s">
        <v>182</v>
      </c>
      <c r="H76" s="1">
        <v>9.76026004E8</v>
      </c>
      <c r="I76" s="1">
        <v>7.5204008496E10</v>
      </c>
    </row>
    <row r="77">
      <c r="A77" s="1">
        <f t="shared" si="1"/>
        <v>76</v>
      </c>
      <c r="B77" s="1">
        <v>1.22000309E8</v>
      </c>
      <c r="C77" s="1" t="s">
        <v>159</v>
      </c>
      <c r="D77" s="1" t="s">
        <v>183</v>
      </c>
      <c r="E77" s="1" t="s">
        <v>107</v>
      </c>
      <c r="F77" s="1" t="s">
        <v>12</v>
      </c>
      <c r="G77" s="2">
        <v>37865.0</v>
      </c>
      <c r="H77" s="1">
        <v>8.79057312E8</v>
      </c>
      <c r="I77" s="1">
        <v>6.6203005619E10</v>
      </c>
    </row>
    <row r="78">
      <c r="A78" s="1">
        <f t="shared" si="1"/>
        <v>77</v>
      </c>
      <c r="B78" s="1">
        <v>1.22000338E8</v>
      </c>
      <c r="C78" s="1" t="s">
        <v>159</v>
      </c>
      <c r="D78" s="1" t="s">
        <v>184</v>
      </c>
      <c r="E78" s="1" t="s">
        <v>185</v>
      </c>
      <c r="F78" s="1" t="s">
        <v>12</v>
      </c>
      <c r="G78" s="2">
        <v>38048.0</v>
      </c>
      <c r="H78" s="1">
        <v>3.59208596E8</v>
      </c>
      <c r="I78" s="1">
        <v>7.0204011721E10</v>
      </c>
    </row>
    <row r="79">
      <c r="A79" s="1">
        <f t="shared" si="1"/>
        <v>78</v>
      </c>
      <c r="B79" s="1">
        <v>1.22000401E8</v>
      </c>
      <c r="C79" s="1" t="s">
        <v>159</v>
      </c>
      <c r="D79" s="1" t="s">
        <v>186</v>
      </c>
      <c r="E79" s="1" t="s">
        <v>12</v>
      </c>
      <c r="F79" s="1" t="s">
        <v>12</v>
      </c>
      <c r="G79" s="1" t="s">
        <v>187</v>
      </c>
      <c r="H79" s="1">
        <v>3.62567818E8</v>
      </c>
      <c r="I79" s="1">
        <v>7.520401963E10</v>
      </c>
    </row>
    <row r="80">
      <c r="A80" s="1">
        <f t="shared" si="1"/>
        <v>79</v>
      </c>
      <c r="B80" s="1">
        <v>1.22000405E8</v>
      </c>
      <c r="C80" s="1" t="s">
        <v>159</v>
      </c>
      <c r="D80" s="1" t="s">
        <v>188</v>
      </c>
      <c r="E80" s="1" t="s">
        <v>171</v>
      </c>
      <c r="F80" s="1" t="s">
        <v>12</v>
      </c>
      <c r="G80" s="1" t="s">
        <v>189</v>
      </c>
      <c r="H80" s="1">
        <v>7.9803221E8</v>
      </c>
      <c r="I80" s="1">
        <v>2.7298489E8</v>
      </c>
    </row>
    <row r="81">
      <c r="A81" s="1">
        <f t="shared" si="1"/>
        <v>80</v>
      </c>
      <c r="B81" s="1">
        <v>1.22000426E8</v>
      </c>
      <c r="C81" s="1" t="s">
        <v>159</v>
      </c>
      <c r="D81" s="1" t="s">
        <v>190</v>
      </c>
      <c r="E81" s="1" t="s">
        <v>191</v>
      </c>
      <c r="F81" s="1" t="s">
        <v>12</v>
      </c>
      <c r="G81" s="2">
        <v>37990.0</v>
      </c>
      <c r="H81" s="1">
        <v>3.79188976E8</v>
      </c>
      <c r="I81" s="1">
        <v>7.0204001546E10</v>
      </c>
    </row>
    <row r="82">
      <c r="A82" s="1">
        <f t="shared" si="1"/>
        <v>81</v>
      </c>
      <c r="B82" s="1">
        <v>1.2200051E8</v>
      </c>
      <c r="C82" s="1" t="s">
        <v>159</v>
      </c>
      <c r="D82" s="1" t="s">
        <v>192</v>
      </c>
      <c r="E82" s="1" t="s">
        <v>134</v>
      </c>
      <c r="F82" s="1" t="s">
        <v>12</v>
      </c>
      <c r="G82" s="2">
        <v>37987.0</v>
      </c>
      <c r="H82" s="1">
        <v>3.77671847E8</v>
      </c>
      <c r="I82" s="1">
        <v>5.4204001949E10</v>
      </c>
    </row>
    <row r="83">
      <c r="A83" s="1">
        <f t="shared" si="1"/>
        <v>82</v>
      </c>
      <c r="B83" s="1">
        <v>1.22000564E8</v>
      </c>
      <c r="C83" s="1" t="s">
        <v>159</v>
      </c>
      <c r="D83" s="1" t="s">
        <v>193</v>
      </c>
      <c r="E83" s="1" t="s">
        <v>119</v>
      </c>
      <c r="F83" s="1" t="s">
        <v>12</v>
      </c>
      <c r="G83" s="2">
        <v>38112.0</v>
      </c>
      <c r="H83" s="1">
        <v>9.33669137E8</v>
      </c>
      <c r="I83" s="1">
        <v>2.72990882E8</v>
      </c>
    </row>
    <row r="84">
      <c r="A84" s="1">
        <f t="shared" si="1"/>
        <v>83</v>
      </c>
      <c r="B84" s="1">
        <v>1.22000661E8</v>
      </c>
      <c r="C84" s="1" t="s">
        <v>159</v>
      </c>
      <c r="D84" s="1" t="s">
        <v>194</v>
      </c>
      <c r="E84" s="1" t="s">
        <v>55</v>
      </c>
      <c r="F84" s="1" t="s">
        <v>12</v>
      </c>
      <c r="G84" s="3">
        <v>38331.0</v>
      </c>
      <c r="H84" s="1">
        <v>3.32720697E8</v>
      </c>
      <c r="I84" s="1">
        <v>7.4204001157E10</v>
      </c>
    </row>
    <row r="85">
      <c r="A85" s="1">
        <f t="shared" si="1"/>
        <v>84</v>
      </c>
      <c r="B85" s="1">
        <v>1.22000725E8</v>
      </c>
      <c r="C85" s="1" t="s">
        <v>159</v>
      </c>
      <c r="D85" s="1" t="s">
        <v>195</v>
      </c>
      <c r="E85" s="1" t="s">
        <v>30</v>
      </c>
      <c r="F85" s="1" t="s">
        <v>12</v>
      </c>
      <c r="G85" s="1" t="s">
        <v>196</v>
      </c>
      <c r="H85" s="1">
        <v>8.67690787E8</v>
      </c>
      <c r="I85" s="1">
        <v>6.6204011822E10</v>
      </c>
    </row>
    <row r="86">
      <c r="A86" s="1">
        <f t="shared" si="1"/>
        <v>85</v>
      </c>
      <c r="B86" s="1">
        <v>1.22000749E8</v>
      </c>
      <c r="C86" s="1" t="s">
        <v>159</v>
      </c>
      <c r="D86" s="1" t="s">
        <v>197</v>
      </c>
      <c r="E86" s="1" t="s">
        <v>74</v>
      </c>
      <c r="F86" s="1" t="s">
        <v>12</v>
      </c>
      <c r="G86" s="1" t="s">
        <v>198</v>
      </c>
      <c r="H86" s="1">
        <v>3.27986472E8</v>
      </c>
      <c r="I86" s="1">
        <v>5.4204004879E10</v>
      </c>
    </row>
    <row r="87">
      <c r="A87" s="1">
        <f t="shared" si="1"/>
        <v>86</v>
      </c>
      <c r="B87" s="1">
        <v>1.22000796E8</v>
      </c>
      <c r="C87" s="1" t="s">
        <v>159</v>
      </c>
      <c r="D87" s="1" t="s">
        <v>199</v>
      </c>
      <c r="E87" s="1" t="s">
        <v>200</v>
      </c>
      <c r="F87" s="1" t="s">
        <v>12</v>
      </c>
      <c r="G87" s="2">
        <v>38300.0</v>
      </c>
      <c r="H87" s="1">
        <v>7.72792004E8</v>
      </c>
      <c r="I87" s="1">
        <v>6.6204007014E10</v>
      </c>
    </row>
    <row r="88">
      <c r="A88" s="1">
        <f t="shared" si="1"/>
        <v>87</v>
      </c>
      <c r="B88" s="1">
        <v>1.22000798E8</v>
      </c>
      <c r="C88" s="1" t="s">
        <v>159</v>
      </c>
      <c r="D88" s="1" t="s">
        <v>201</v>
      </c>
      <c r="E88" s="1" t="s">
        <v>202</v>
      </c>
      <c r="F88" s="1" t="s">
        <v>18</v>
      </c>
      <c r="G88" s="2">
        <v>37843.0</v>
      </c>
      <c r="H88" s="1">
        <v>8.42958696E8</v>
      </c>
      <c r="I88" s="1">
        <v>7.5303016711E10</v>
      </c>
    </row>
    <row r="89">
      <c r="A89" s="1">
        <f t="shared" si="1"/>
        <v>88</v>
      </c>
      <c r="B89" s="1">
        <v>1.2200081E8</v>
      </c>
      <c r="C89" s="1" t="s">
        <v>159</v>
      </c>
      <c r="D89" s="1" t="s">
        <v>190</v>
      </c>
      <c r="E89" s="1" t="s">
        <v>109</v>
      </c>
      <c r="F89" s="1" t="s">
        <v>12</v>
      </c>
      <c r="G89" s="2">
        <v>38207.0</v>
      </c>
      <c r="H89" s="1">
        <v>3.78818596E8</v>
      </c>
      <c r="I89" s="1">
        <v>3.8204028545E10</v>
      </c>
    </row>
    <row r="90">
      <c r="A90" s="1">
        <f t="shared" si="1"/>
        <v>89</v>
      </c>
      <c r="B90" s="1">
        <v>1.22000814E8</v>
      </c>
      <c r="C90" s="1" t="s">
        <v>159</v>
      </c>
      <c r="D90" s="1" t="s">
        <v>193</v>
      </c>
      <c r="E90" s="1" t="s">
        <v>127</v>
      </c>
      <c r="F90" s="1" t="s">
        <v>12</v>
      </c>
      <c r="G90" s="1" t="s">
        <v>203</v>
      </c>
      <c r="H90" s="1">
        <v>9.18180969E8</v>
      </c>
      <c r="I90" s="1">
        <v>7.5204002164E10</v>
      </c>
    </row>
    <row r="91">
      <c r="A91" s="1">
        <f t="shared" si="1"/>
        <v>90</v>
      </c>
      <c r="B91" s="1">
        <v>1.22000821E8</v>
      </c>
      <c r="C91" s="1" t="s">
        <v>159</v>
      </c>
      <c r="D91" s="1" t="s">
        <v>94</v>
      </c>
      <c r="E91" s="1" t="s">
        <v>65</v>
      </c>
      <c r="F91" s="1" t="s">
        <v>12</v>
      </c>
      <c r="G91" s="2">
        <v>38086.0</v>
      </c>
      <c r="H91" s="1">
        <v>9.6304716E8</v>
      </c>
      <c r="I91" s="1">
        <v>7.5204003707E10</v>
      </c>
    </row>
    <row r="92">
      <c r="A92" s="1">
        <f t="shared" si="1"/>
        <v>91</v>
      </c>
      <c r="B92" s="1">
        <v>1.22000848E8</v>
      </c>
      <c r="C92" s="1" t="s">
        <v>159</v>
      </c>
      <c r="D92" s="1" t="s">
        <v>204</v>
      </c>
      <c r="E92" s="1" t="s">
        <v>205</v>
      </c>
      <c r="F92" s="1" t="s">
        <v>12</v>
      </c>
      <c r="G92" s="1" t="s">
        <v>206</v>
      </c>
      <c r="H92" s="1">
        <v>3.7698796E8</v>
      </c>
      <c r="I92" s="1">
        <v>7.5204008738E10</v>
      </c>
    </row>
    <row r="93">
      <c r="A93" s="1">
        <f t="shared" si="1"/>
        <v>92</v>
      </c>
      <c r="B93" s="1">
        <v>1.2200086E8</v>
      </c>
      <c r="C93" s="1" t="s">
        <v>159</v>
      </c>
      <c r="D93" s="1" t="s">
        <v>207</v>
      </c>
      <c r="E93" s="1" t="s">
        <v>208</v>
      </c>
      <c r="F93" s="1" t="s">
        <v>12</v>
      </c>
      <c r="G93" s="1" t="s">
        <v>209</v>
      </c>
      <c r="H93" s="1">
        <v>9.41619163E8</v>
      </c>
      <c r="I93" s="1">
        <v>7.520400272E10</v>
      </c>
    </row>
    <row r="94">
      <c r="A94" s="1">
        <f t="shared" si="1"/>
        <v>93</v>
      </c>
      <c r="B94" s="1">
        <v>1.22000942E8</v>
      </c>
      <c r="C94" s="1" t="s">
        <v>159</v>
      </c>
      <c r="D94" s="1" t="s">
        <v>210</v>
      </c>
      <c r="E94" s="1" t="s">
        <v>40</v>
      </c>
      <c r="F94" s="1" t="s">
        <v>12</v>
      </c>
      <c r="G94" s="2">
        <v>36868.0</v>
      </c>
      <c r="H94" s="1">
        <v>9.15741652E8</v>
      </c>
      <c r="I94" s="1">
        <v>2.72782146E8</v>
      </c>
    </row>
    <row r="95">
      <c r="A95" s="1">
        <f t="shared" si="1"/>
        <v>94</v>
      </c>
      <c r="B95" s="1">
        <v>1.22000971E8</v>
      </c>
      <c r="C95" s="1" t="s">
        <v>159</v>
      </c>
      <c r="D95" s="1" t="s">
        <v>20</v>
      </c>
      <c r="E95" s="1" t="s">
        <v>127</v>
      </c>
      <c r="F95" s="1" t="s">
        <v>12</v>
      </c>
      <c r="G95" s="2">
        <v>37987.0</v>
      </c>
      <c r="H95" s="1">
        <v>8.65667704E8</v>
      </c>
      <c r="I95" s="1">
        <v>5.8204000227E10</v>
      </c>
    </row>
    <row r="96">
      <c r="A96" s="1">
        <f t="shared" si="1"/>
        <v>95</v>
      </c>
      <c r="B96" s="1">
        <v>1.22000973E8</v>
      </c>
      <c r="C96" s="1" t="s">
        <v>159</v>
      </c>
      <c r="D96" s="1" t="s">
        <v>211</v>
      </c>
      <c r="E96" s="1" t="s">
        <v>212</v>
      </c>
      <c r="F96" s="1" t="s">
        <v>12</v>
      </c>
      <c r="G96" s="1" t="s">
        <v>213</v>
      </c>
      <c r="H96" s="1">
        <v>9.23390094E8</v>
      </c>
      <c r="I96" s="1">
        <v>7.5204003269E10</v>
      </c>
    </row>
    <row r="97">
      <c r="A97" s="1">
        <f t="shared" si="1"/>
        <v>96</v>
      </c>
      <c r="B97" s="1">
        <v>1.22001039E8</v>
      </c>
      <c r="C97" s="1" t="s">
        <v>159</v>
      </c>
      <c r="D97" s="1" t="s">
        <v>214</v>
      </c>
      <c r="E97" s="1" t="s">
        <v>24</v>
      </c>
      <c r="F97" s="1" t="s">
        <v>12</v>
      </c>
      <c r="G97" s="1" t="s">
        <v>215</v>
      </c>
      <c r="H97" s="1">
        <v>3.27504298E8</v>
      </c>
      <c r="I97" s="1">
        <v>6.0204006176E10</v>
      </c>
    </row>
    <row r="98">
      <c r="A98" s="1">
        <f t="shared" si="1"/>
        <v>97</v>
      </c>
      <c r="B98" s="1">
        <v>1.22001042E8</v>
      </c>
      <c r="C98" s="1" t="s">
        <v>159</v>
      </c>
      <c r="D98" s="1" t="s">
        <v>216</v>
      </c>
      <c r="E98" s="1" t="s">
        <v>217</v>
      </c>
      <c r="F98" s="1" t="s">
        <v>12</v>
      </c>
      <c r="G98" s="1" t="s">
        <v>218</v>
      </c>
      <c r="H98" s="1">
        <v>8.66684277E8</v>
      </c>
      <c r="I98" s="1">
        <v>7.7203002826E10</v>
      </c>
    </row>
    <row r="99">
      <c r="A99" s="1">
        <f t="shared" si="1"/>
        <v>98</v>
      </c>
      <c r="B99" s="1">
        <v>1.22001061E8</v>
      </c>
      <c r="C99" s="1" t="s">
        <v>159</v>
      </c>
      <c r="D99" s="1" t="s">
        <v>219</v>
      </c>
      <c r="E99" s="1" t="s">
        <v>83</v>
      </c>
      <c r="F99" s="1" t="s">
        <v>12</v>
      </c>
      <c r="G99" s="2">
        <v>38148.0</v>
      </c>
      <c r="H99" s="1">
        <v>3.49106174E8</v>
      </c>
      <c r="I99" s="1">
        <v>6.7204003473E10</v>
      </c>
    </row>
    <row r="100">
      <c r="A100" s="1">
        <f t="shared" si="1"/>
        <v>99</v>
      </c>
      <c r="B100" s="1">
        <v>1.22001087E8</v>
      </c>
      <c r="C100" s="1" t="s">
        <v>159</v>
      </c>
      <c r="D100" s="1" t="s">
        <v>174</v>
      </c>
      <c r="E100" s="1" t="s">
        <v>220</v>
      </c>
      <c r="F100" s="1" t="s">
        <v>12</v>
      </c>
      <c r="G100" s="1" t="s">
        <v>221</v>
      </c>
      <c r="H100" s="1">
        <v>8.23583538E8</v>
      </c>
      <c r="I100" s="1">
        <v>7.5204014959E10</v>
      </c>
    </row>
    <row r="101">
      <c r="A101" s="1">
        <f t="shared" si="1"/>
        <v>100</v>
      </c>
      <c r="B101" s="1">
        <v>1.22001109E8</v>
      </c>
      <c r="C101" s="1" t="s">
        <v>159</v>
      </c>
      <c r="D101" s="1" t="s">
        <v>222</v>
      </c>
      <c r="E101" s="1" t="s">
        <v>223</v>
      </c>
      <c r="F101" s="1" t="s">
        <v>12</v>
      </c>
      <c r="G101" s="1" t="s">
        <v>224</v>
      </c>
      <c r="H101" s="1">
        <v>9.74648943E8</v>
      </c>
      <c r="I101" s="1">
        <v>7.5204019517E10</v>
      </c>
    </row>
    <row r="102">
      <c r="A102" s="1">
        <f t="shared" si="1"/>
        <v>101</v>
      </c>
      <c r="B102" s="1">
        <v>1.22001117E8</v>
      </c>
      <c r="C102" s="1" t="s">
        <v>159</v>
      </c>
      <c r="D102" s="1" t="s">
        <v>190</v>
      </c>
      <c r="E102" s="1" t="s">
        <v>12</v>
      </c>
      <c r="F102" s="1" t="s">
        <v>12</v>
      </c>
      <c r="G102" s="2">
        <v>38047.0</v>
      </c>
      <c r="H102" s="1">
        <v>9.6744309E8</v>
      </c>
      <c r="I102" s="1">
        <v>4.4204001363E10</v>
      </c>
    </row>
    <row r="103">
      <c r="A103" s="1">
        <f t="shared" si="1"/>
        <v>102</v>
      </c>
      <c r="B103" s="1">
        <v>1.22001155E8</v>
      </c>
      <c r="C103" s="1" t="s">
        <v>159</v>
      </c>
      <c r="D103" s="1" t="s">
        <v>225</v>
      </c>
      <c r="E103" s="1" t="s">
        <v>55</v>
      </c>
      <c r="F103" s="1" t="s">
        <v>12</v>
      </c>
      <c r="G103" s="2">
        <v>38200.0</v>
      </c>
      <c r="H103" s="1">
        <v>8.55025924E8</v>
      </c>
      <c r="I103" s="1">
        <v>7.5204001769E10</v>
      </c>
    </row>
    <row r="104">
      <c r="A104" s="1">
        <f t="shared" si="1"/>
        <v>103</v>
      </c>
      <c r="B104" s="1">
        <v>1.22001179E8</v>
      </c>
      <c r="C104" s="1" t="s">
        <v>159</v>
      </c>
      <c r="D104" s="1" t="s">
        <v>226</v>
      </c>
      <c r="E104" s="1" t="s">
        <v>227</v>
      </c>
      <c r="F104" s="1" t="s">
        <v>12</v>
      </c>
      <c r="G104" s="1" t="s">
        <v>167</v>
      </c>
      <c r="H104" s="1">
        <v>8.98685947E8</v>
      </c>
      <c r="I104" s="1">
        <v>6.6204007654E10</v>
      </c>
    </row>
    <row r="105">
      <c r="A105" s="1">
        <f t="shared" si="1"/>
        <v>104</v>
      </c>
      <c r="B105" s="1">
        <v>1.22001249E8</v>
      </c>
      <c r="C105" s="1" t="s">
        <v>159</v>
      </c>
      <c r="D105" s="1" t="s">
        <v>228</v>
      </c>
      <c r="E105" s="1" t="s">
        <v>104</v>
      </c>
      <c r="F105" s="1" t="s">
        <v>12</v>
      </c>
      <c r="G105" s="2">
        <v>38292.0</v>
      </c>
      <c r="H105" s="1">
        <v>3.96566706E8</v>
      </c>
      <c r="I105" s="1">
        <v>7.520401278E10</v>
      </c>
    </row>
    <row r="106">
      <c r="A106" s="1">
        <f t="shared" si="1"/>
        <v>105</v>
      </c>
      <c r="B106" s="1">
        <v>1.22001281E8</v>
      </c>
      <c r="C106" s="1" t="s">
        <v>159</v>
      </c>
      <c r="D106" s="1" t="s">
        <v>229</v>
      </c>
      <c r="E106" s="1" t="s">
        <v>132</v>
      </c>
      <c r="F106" s="1" t="s">
        <v>12</v>
      </c>
      <c r="G106" s="2">
        <v>38111.0</v>
      </c>
      <c r="H106" s="1">
        <v>3.98032901E8</v>
      </c>
      <c r="I106" s="1">
        <v>3.6204019174E10</v>
      </c>
    </row>
    <row r="107">
      <c r="A107" s="1">
        <f t="shared" si="1"/>
        <v>106</v>
      </c>
      <c r="B107" s="1">
        <v>1.22001295E8</v>
      </c>
      <c r="C107" s="1" t="s">
        <v>159</v>
      </c>
      <c r="D107" s="1" t="s">
        <v>230</v>
      </c>
      <c r="E107" s="1" t="s">
        <v>119</v>
      </c>
      <c r="F107" s="1" t="s">
        <v>12</v>
      </c>
      <c r="G107" s="1" t="s">
        <v>231</v>
      </c>
      <c r="H107" s="1">
        <v>7.74563764E8</v>
      </c>
      <c r="I107" s="1">
        <v>5.6204004558E10</v>
      </c>
    </row>
    <row r="108">
      <c r="A108" s="1">
        <f t="shared" si="1"/>
        <v>107</v>
      </c>
      <c r="B108" s="1">
        <v>1.21001164E8</v>
      </c>
      <c r="C108" s="1" t="s">
        <v>232</v>
      </c>
      <c r="D108" s="1" t="s">
        <v>193</v>
      </c>
      <c r="E108" s="1" t="s">
        <v>233</v>
      </c>
      <c r="F108" s="1" t="s">
        <v>12</v>
      </c>
      <c r="G108" s="1" t="s">
        <v>234</v>
      </c>
      <c r="H108" s="1">
        <v>8.15339787E8</v>
      </c>
      <c r="I108" s="1">
        <v>4.9203005784E10</v>
      </c>
    </row>
    <row r="109">
      <c r="A109" s="1">
        <f t="shared" si="1"/>
        <v>108</v>
      </c>
      <c r="B109" s="1">
        <v>1.21001309E8</v>
      </c>
      <c r="C109" s="1" t="s">
        <v>232</v>
      </c>
      <c r="D109" s="1" t="s">
        <v>235</v>
      </c>
      <c r="E109" s="1" t="s">
        <v>91</v>
      </c>
      <c r="F109" s="1" t="s">
        <v>12</v>
      </c>
      <c r="G109" s="1" t="s">
        <v>236</v>
      </c>
      <c r="H109" s="1">
        <v>3.73272354E8</v>
      </c>
      <c r="I109" s="1">
        <v>7.2203007733E10</v>
      </c>
    </row>
    <row r="110">
      <c r="A110" s="1">
        <f t="shared" si="1"/>
        <v>109</v>
      </c>
      <c r="B110" s="1">
        <v>1.22000082E8</v>
      </c>
      <c r="C110" s="1" t="s">
        <v>232</v>
      </c>
      <c r="D110" s="1" t="s">
        <v>10</v>
      </c>
      <c r="E110" s="1" t="s">
        <v>55</v>
      </c>
      <c r="F110" s="1" t="s">
        <v>12</v>
      </c>
      <c r="G110" s="1" t="s">
        <v>48</v>
      </c>
      <c r="H110" s="1">
        <v>3.94272844E8</v>
      </c>
      <c r="I110" s="1">
        <v>7.5204008644E10</v>
      </c>
    </row>
    <row r="111">
      <c r="A111" s="1">
        <f t="shared" si="1"/>
        <v>110</v>
      </c>
      <c r="B111" s="1">
        <v>1.22000102E8</v>
      </c>
      <c r="C111" s="1" t="s">
        <v>232</v>
      </c>
      <c r="D111" s="1" t="s">
        <v>237</v>
      </c>
      <c r="E111" s="1" t="s">
        <v>238</v>
      </c>
      <c r="F111" s="1" t="s">
        <v>12</v>
      </c>
      <c r="G111" s="1" t="s">
        <v>239</v>
      </c>
      <c r="H111" s="1">
        <v>8.68403107E8</v>
      </c>
      <c r="I111" s="1">
        <v>7.4201001869E10</v>
      </c>
    </row>
    <row r="112">
      <c r="A112" s="1">
        <f t="shared" si="1"/>
        <v>111</v>
      </c>
      <c r="B112" s="1">
        <v>1.22000223E8</v>
      </c>
      <c r="C112" s="1" t="s">
        <v>232</v>
      </c>
      <c r="D112" s="1" t="s">
        <v>240</v>
      </c>
      <c r="E112" s="1" t="s">
        <v>175</v>
      </c>
      <c r="F112" s="1" t="s">
        <v>12</v>
      </c>
      <c r="G112" s="1" t="s">
        <v>241</v>
      </c>
      <c r="H112" s="1">
        <v>3.32311604E8</v>
      </c>
      <c r="I112" s="1">
        <v>9.420400424E10</v>
      </c>
    </row>
    <row r="113">
      <c r="A113" s="1">
        <f t="shared" si="1"/>
        <v>112</v>
      </c>
      <c r="B113" s="1">
        <v>1.2200024E8</v>
      </c>
      <c r="C113" s="1" t="s">
        <v>232</v>
      </c>
      <c r="D113" s="1" t="s">
        <v>242</v>
      </c>
      <c r="E113" s="1" t="s">
        <v>153</v>
      </c>
      <c r="F113" s="1" t="s">
        <v>12</v>
      </c>
      <c r="G113" s="1" t="s">
        <v>243</v>
      </c>
      <c r="H113" s="1">
        <v>3.34644788E8</v>
      </c>
      <c r="I113" s="1">
        <v>7.7204003838E10</v>
      </c>
    </row>
    <row r="114">
      <c r="A114" s="1">
        <f t="shared" si="1"/>
        <v>113</v>
      </c>
      <c r="B114" s="1">
        <v>1.22000269E8</v>
      </c>
      <c r="C114" s="1" t="s">
        <v>232</v>
      </c>
      <c r="D114" s="1" t="s">
        <v>244</v>
      </c>
      <c r="E114" s="1" t="s">
        <v>245</v>
      </c>
      <c r="F114" s="1" t="s">
        <v>12</v>
      </c>
      <c r="G114" s="1" t="s">
        <v>246</v>
      </c>
      <c r="H114" s="1">
        <v>3.55627106E8</v>
      </c>
      <c r="I114" s="1">
        <v>2.81421107E8</v>
      </c>
    </row>
    <row r="115">
      <c r="A115" s="1">
        <f t="shared" si="1"/>
        <v>114</v>
      </c>
      <c r="B115" s="1">
        <v>1.22000282E8</v>
      </c>
      <c r="C115" s="1" t="s">
        <v>232</v>
      </c>
      <c r="D115" s="1" t="s">
        <v>247</v>
      </c>
      <c r="E115" s="1" t="s">
        <v>44</v>
      </c>
      <c r="F115" s="1" t="s">
        <v>12</v>
      </c>
      <c r="G115" s="2">
        <v>37996.0</v>
      </c>
      <c r="H115" s="1">
        <v>8.66891746E8</v>
      </c>
      <c r="I115" s="1">
        <v>3.4204012048E10</v>
      </c>
    </row>
    <row r="116">
      <c r="A116" s="1">
        <f t="shared" si="1"/>
        <v>115</v>
      </c>
      <c r="B116" s="1">
        <v>1.22000292E8</v>
      </c>
      <c r="C116" s="1" t="s">
        <v>232</v>
      </c>
      <c r="D116" s="1" t="s">
        <v>248</v>
      </c>
      <c r="E116" s="1" t="s">
        <v>249</v>
      </c>
      <c r="F116" s="1" t="s">
        <v>18</v>
      </c>
      <c r="G116" s="2">
        <v>38050.0</v>
      </c>
      <c r="H116" s="1">
        <v>9.89752391E8</v>
      </c>
      <c r="I116" s="1">
        <v>5.2304004171E10</v>
      </c>
    </row>
    <row r="117">
      <c r="A117" s="1">
        <f t="shared" si="1"/>
        <v>116</v>
      </c>
      <c r="B117" s="1">
        <v>1.22000391E8</v>
      </c>
      <c r="C117" s="1" t="s">
        <v>232</v>
      </c>
      <c r="D117" s="1" t="s">
        <v>250</v>
      </c>
      <c r="E117" s="1" t="s">
        <v>223</v>
      </c>
      <c r="F117" s="1" t="s">
        <v>12</v>
      </c>
      <c r="G117" s="1" t="s">
        <v>251</v>
      </c>
      <c r="H117" s="1">
        <v>9.88026131E8</v>
      </c>
      <c r="I117" s="1">
        <v>6.4203005328E10</v>
      </c>
    </row>
    <row r="118">
      <c r="A118" s="1">
        <f t="shared" si="1"/>
        <v>117</v>
      </c>
      <c r="B118" s="1">
        <v>1.22000438E8</v>
      </c>
      <c r="C118" s="1" t="s">
        <v>232</v>
      </c>
      <c r="D118" s="1" t="s">
        <v>252</v>
      </c>
      <c r="E118" s="1" t="s">
        <v>185</v>
      </c>
      <c r="F118" s="1" t="s">
        <v>12</v>
      </c>
      <c r="G118" s="3">
        <v>38332.0</v>
      </c>
      <c r="H118" s="1">
        <v>8.17276254E8</v>
      </c>
      <c r="I118" s="1">
        <v>7.520401555E10</v>
      </c>
    </row>
    <row r="119">
      <c r="A119" s="1">
        <f t="shared" si="1"/>
        <v>118</v>
      </c>
      <c r="B119" s="1">
        <v>1.22000441E8</v>
      </c>
      <c r="C119" s="1" t="s">
        <v>232</v>
      </c>
      <c r="D119" s="1" t="s">
        <v>253</v>
      </c>
      <c r="E119" s="1" t="s">
        <v>254</v>
      </c>
      <c r="F119" s="1" t="s">
        <v>12</v>
      </c>
      <c r="G119" s="1" t="s">
        <v>255</v>
      </c>
      <c r="H119" s="1">
        <v>3.73545572E8</v>
      </c>
      <c r="I119" s="1">
        <v>7.5204019824E10</v>
      </c>
    </row>
    <row r="120">
      <c r="A120" s="1">
        <f t="shared" si="1"/>
        <v>119</v>
      </c>
      <c r="B120" s="1">
        <v>1.22000456E8</v>
      </c>
      <c r="C120" s="1" t="s">
        <v>232</v>
      </c>
      <c r="D120" s="1" t="s">
        <v>256</v>
      </c>
      <c r="E120" s="1" t="s">
        <v>257</v>
      </c>
      <c r="F120" s="1" t="s">
        <v>12</v>
      </c>
      <c r="G120" s="3">
        <v>37905.0</v>
      </c>
      <c r="H120" s="1">
        <v>5.86641397E8</v>
      </c>
      <c r="I120" s="1">
        <v>7.5203008295E10</v>
      </c>
    </row>
    <row r="121">
      <c r="A121" s="1">
        <f t="shared" si="1"/>
        <v>120</v>
      </c>
      <c r="B121" s="1">
        <v>1.2200046E8</v>
      </c>
      <c r="C121" s="1" t="s">
        <v>232</v>
      </c>
      <c r="D121" s="1" t="s">
        <v>62</v>
      </c>
      <c r="E121" s="1" t="s">
        <v>238</v>
      </c>
      <c r="F121" s="1" t="s">
        <v>12</v>
      </c>
      <c r="G121" s="1" t="s">
        <v>258</v>
      </c>
      <c r="H121" s="1">
        <v>3.34914712E8</v>
      </c>
      <c r="I121" s="1">
        <v>6.8201004346E10</v>
      </c>
    </row>
    <row r="122">
      <c r="A122" s="1">
        <f t="shared" si="1"/>
        <v>121</v>
      </c>
      <c r="B122" s="1">
        <v>1.22000476E8</v>
      </c>
      <c r="C122" s="1" t="s">
        <v>232</v>
      </c>
      <c r="D122" s="1" t="s">
        <v>259</v>
      </c>
      <c r="E122" s="1" t="s">
        <v>260</v>
      </c>
      <c r="F122" s="1" t="s">
        <v>12</v>
      </c>
      <c r="G122" s="2">
        <v>37987.0</v>
      </c>
      <c r="H122" s="1">
        <v>9.48509556E8</v>
      </c>
      <c r="I122" s="1">
        <v>7.5204003234E10</v>
      </c>
    </row>
    <row r="123">
      <c r="A123" s="1">
        <f t="shared" si="1"/>
        <v>122</v>
      </c>
      <c r="B123" s="1">
        <v>1.22000544E8</v>
      </c>
      <c r="C123" s="1" t="s">
        <v>232</v>
      </c>
      <c r="D123" s="1" t="s">
        <v>261</v>
      </c>
      <c r="E123" s="1" t="s">
        <v>262</v>
      </c>
      <c r="F123" s="1" t="s">
        <v>12</v>
      </c>
      <c r="G123" s="1" t="s">
        <v>187</v>
      </c>
      <c r="H123" s="1">
        <v>3.34919074E8</v>
      </c>
      <c r="I123" s="1">
        <v>7.520401885E10</v>
      </c>
    </row>
    <row r="124">
      <c r="A124" s="1">
        <f t="shared" si="1"/>
        <v>123</v>
      </c>
      <c r="B124" s="1">
        <v>1.22000549E8</v>
      </c>
      <c r="C124" s="1" t="s">
        <v>232</v>
      </c>
      <c r="D124" s="1" t="s">
        <v>263</v>
      </c>
      <c r="E124" s="1" t="s">
        <v>27</v>
      </c>
      <c r="F124" s="1" t="s">
        <v>12</v>
      </c>
      <c r="G124" s="2">
        <v>38110.0</v>
      </c>
      <c r="H124" s="1">
        <v>3.44910369E8</v>
      </c>
      <c r="I124" s="1">
        <v>7.5204005437E10</v>
      </c>
    </row>
    <row r="125">
      <c r="A125" s="1">
        <f t="shared" si="1"/>
        <v>124</v>
      </c>
      <c r="B125" s="1">
        <v>1.22000587E8</v>
      </c>
      <c r="C125" s="1" t="s">
        <v>232</v>
      </c>
      <c r="D125" s="1" t="s">
        <v>264</v>
      </c>
      <c r="E125" s="1" t="s">
        <v>76</v>
      </c>
      <c r="F125" s="1" t="s">
        <v>12</v>
      </c>
      <c r="G125" s="1" t="s">
        <v>265</v>
      </c>
      <c r="H125" s="1">
        <v>3.39842949E8</v>
      </c>
      <c r="I125" s="1">
        <v>3.72121223E8</v>
      </c>
    </row>
    <row r="126">
      <c r="A126" s="1">
        <f t="shared" si="1"/>
        <v>125</v>
      </c>
      <c r="B126" s="1">
        <v>1.22000648E8</v>
      </c>
      <c r="C126" s="1" t="s">
        <v>232</v>
      </c>
      <c r="D126" s="1" t="s">
        <v>266</v>
      </c>
      <c r="E126" s="1" t="s">
        <v>267</v>
      </c>
      <c r="F126" s="1" t="s">
        <v>18</v>
      </c>
      <c r="G126" s="1" t="s">
        <v>268</v>
      </c>
      <c r="H126" s="1">
        <v>9.08843193E8</v>
      </c>
      <c r="I126" s="1">
        <v>7.5304012345E10</v>
      </c>
    </row>
    <row r="127">
      <c r="A127" s="1">
        <f t="shared" si="1"/>
        <v>126</v>
      </c>
      <c r="B127" s="1">
        <v>1.22000705E8</v>
      </c>
      <c r="C127" s="1" t="s">
        <v>232</v>
      </c>
      <c r="D127" s="1" t="s">
        <v>192</v>
      </c>
      <c r="E127" s="1" t="s">
        <v>76</v>
      </c>
      <c r="F127" s="1" t="s">
        <v>12</v>
      </c>
      <c r="G127" s="2">
        <v>38140.0</v>
      </c>
      <c r="H127" s="1">
        <v>8.69794753E8</v>
      </c>
      <c r="I127" s="1">
        <v>2.76008189E8</v>
      </c>
    </row>
    <row r="128">
      <c r="A128" s="1">
        <f t="shared" si="1"/>
        <v>127</v>
      </c>
      <c r="B128" s="1">
        <v>1.22000708E8</v>
      </c>
      <c r="C128" s="1" t="s">
        <v>232</v>
      </c>
      <c r="D128" s="1" t="s">
        <v>269</v>
      </c>
      <c r="E128" s="1" t="s">
        <v>270</v>
      </c>
      <c r="F128" s="1" t="s">
        <v>12</v>
      </c>
      <c r="G128" s="1" t="s">
        <v>271</v>
      </c>
      <c r="H128" s="1">
        <v>9.6607415E8</v>
      </c>
      <c r="I128" s="1">
        <v>7.5204024122E10</v>
      </c>
    </row>
    <row r="129">
      <c r="A129" s="1">
        <f t="shared" si="1"/>
        <v>128</v>
      </c>
      <c r="B129" s="1">
        <v>1.22000752E8</v>
      </c>
      <c r="C129" s="1" t="s">
        <v>232</v>
      </c>
      <c r="D129" s="1" t="s">
        <v>272</v>
      </c>
      <c r="E129" s="1" t="s">
        <v>273</v>
      </c>
      <c r="F129" s="1" t="s">
        <v>12</v>
      </c>
      <c r="G129" s="2">
        <v>38145.0</v>
      </c>
      <c r="H129" s="1">
        <v>9.46793138E8</v>
      </c>
      <c r="I129" s="1">
        <v>7.5204024485E10</v>
      </c>
    </row>
    <row r="130">
      <c r="A130" s="1">
        <f t="shared" si="1"/>
        <v>129</v>
      </c>
      <c r="B130" s="1">
        <v>1.22000776E8</v>
      </c>
      <c r="C130" s="1" t="s">
        <v>232</v>
      </c>
      <c r="D130" s="1" t="s">
        <v>274</v>
      </c>
      <c r="E130" s="1" t="s">
        <v>275</v>
      </c>
      <c r="F130" s="1" t="s">
        <v>12</v>
      </c>
      <c r="G130" s="1" t="s">
        <v>276</v>
      </c>
      <c r="H130" s="1">
        <v>3.9441727E8</v>
      </c>
      <c r="I130" s="1">
        <v>4.0203009317E10</v>
      </c>
    </row>
    <row r="131">
      <c r="A131" s="1">
        <f t="shared" si="1"/>
        <v>130</v>
      </c>
      <c r="B131" s="1">
        <v>1.22000829E8</v>
      </c>
      <c r="C131" s="1" t="s">
        <v>232</v>
      </c>
      <c r="D131" s="1" t="s">
        <v>277</v>
      </c>
      <c r="E131" s="1" t="s">
        <v>185</v>
      </c>
      <c r="F131" s="1" t="s">
        <v>12</v>
      </c>
      <c r="G131" s="2">
        <v>38087.0</v>
      </c>
      <c r="H131" s="1">
        <v>3.39508749E8</v>
      </c>
      <c r="I131" s="1">
        <v>9.4204009243E10</v>
      </c>
    </row>
    <row r="132">
      <c r="A132" s="1">
        <f t="shared" si="1"/>
        <v>131</v>
      </c>
      <c r="B132" s="1">
        <v>1.22001002E8</v>
      </c>
      <c r="C132" s="1" t="s">
        <v>232</v>
      </c>
      <c r="D132" s="1" t="s">
        <v>278</v>
      </c>
      <c r="E132" s="1" t="s">
        <v>81</v>
      </c>
      <c r="F132" s="1" t="s">
        <v>12</v>
      </c>
      <c r="G132" s="1" t="s">
        <v>279</v>
      </c>
      <c r="H132" s="1">
        <v>7.66626061E8</v>
      </c>
      <c r="I132" s="1">
        <v>8.0204008625E10</v>
      </c>
    </row>
    <row r="133">
      <c r="A133" s="1">
        <f t="shared" si="1"/>
        <v>132</v>
      </c>
      <c r="B133" s="1">
        <v>1.22001005E8</v>
      </c>
      <c r="C133" s="1" t="s">
        <v>232</v>
      </c>
      <c r="D133" s="1" t="s">
        <v>280</v>
      </c>
      <c r="E133" s="1" t="s">
        <v>281</v>
      </c>
      <c r="F133" s="1" t="s">
        <v>18</v>
      </c>
      <c r="G133" s="2">
        <v>38297.0</v>
      </c>
      <c r="H133" s="1">
        <v>3.64860796E8</v>
      </c>
      <c r="I133" s="1">
        <v>7.5304007858E10</v>
      </c>
    </row>
    <row r="134">
      <c r="A134" s="1">
        <f t="shared" si="1"/>
        <v>133</v>
      </c>
      <c r="B134" s="1">
        <v>1.22001047E8</v>
      </c>
      <c r="C134" s="1" t="s">
        <v>232</v>
      </c>
      <c r="D134" s="1" t="s">
        <v>282</v>
      </c>
      <c r="E134" s="1" t="s">
        <v>257</v>
      </c>
      <c r="F134" s="1" t="s">
        <v>12</v>
      </c>
      <c r="G134" s="1" t="s">
        <v>283</v>
      </c>
      <c r="H134" s="1">
        <v>3.9283745E8</v>
      </c>
      <c r="I134" s="1">
        <v>6.8204007808E10</v>
      </c>
    </row>
    <row r="135">
      <c r="A135" s="1">
        <f t="shared" si="1"/>
        <v>134</v>
      </c>
      <c r="B135" s="1">
        <v>1.22001215E8</v>
      </c>
      <c r="C135" s="1" t="s">
        <v>232</v>
      </c>
      <c r="D135" s="1" t="s">
        <v>284</v>
      </c>
      <c r="E135" s="1" t="s">
        <v>285</v>
      </c>
      <c r="F135" s="1" t="s">
        <v>12</v>
      </c>
      <c r="G135" s="2">
        <v>37993.0</v>
      </c>
      <c r="H135" s="1">
        <v>3.67561739E8</v>
      </c>
      <c r="I135" s="1">
        <v>3.3204008146E10</v>
      </c>
    </row>
    <row r="136">
      <c r="A136" s="1">
        <f t="shared" si="1"/>
        <v>135</v>
      </c>
      <c r="B136" s="1">
        <v>1.22001254E8</v>
      </c>
      <c r="C136" s="1" t="s">
        <v>232</v>
      </c>
      <c r="D136" s="1" t="s">
        <v>148</v>
      </c>
      <c r="E136" s="1" t="s">
        <v>30</v>
      </c>
      <c r="F136" s="1" t="s">
        <v>12</v>
      </c>
      <c r="G136" s="2">
        <v>36708.0</v>
      </c>
      <c r="H136" s="1">
        <v>9.62129753E8</v>
      </c>
      <c r="I136" s="1">
        <v>7.520000083E10</v>
      </c>
    </row>
    <row r="137">
      <c r="A137" s="1">
        <f t="shared" si="1"/>
        <v>136</v>
      </c>
      <c r="B137" s="1">
        <v>1.22001286E8</v>
      </c>
      <c r="C137" s="1" t="s">
        <v>232</v>
      </c>
      <c r="D137" s="1" t="s">
        <v>136</v>
      </c>
      <c r="E137" s="1" t="s">
        <v>74</v>
      </c>
      <c r="F137" s="1" t="s">
        <v>12</v>
      </c>
      <c r="G137" s="1" t="s">
        <v>28</v>
      </c>
      <c r="H137" s="1">
        <v>7.66627747E8</v>
      </c>
      <c r="I137" s="1">
        <v>5.4204009784E10</v>
      </c>
    </row>
    <row r="138">
      <c r="A138" s="1">
        <f t="shared" si="1"/>
        <v>137</v>
      </c>
      <c r="B138" s="1">
        <v>1.22001299E8</v>
      </c>
      <c r="C138" s="1" t="s">
        <v>232</v>
      </c>
      <c r="D138" s="1" t="s">
        <v>98</v>
      </c>
      <c r="E138" s="1" t="s">
        <v>55</v>
      </c>
      <c r="F138" s="1" t="s">
        <v>12</v>
      </c>
      <c r="G138" s="1" t="s">
        <v>286</v>
      </c>
      <c r="H138" s="1">
        <v>3.92613582E8</v>
      </c>
      <c r="I138" s="1">
        <v>3.4204000109E10</v>
      </c>
    </row>
    <row r="139">
      <c r="A139" s="1">
        <f t="shared" si="1"/>
        <v>138</v>
      </c>
      <c r="B139" s="1">
        <v>1.22001333E8</v>
      </c>
      <c r="C139" s="1" t="s">
        <v>232</v>
      </c>
      <c r="D139" s="1" t="s">
        <v>287</v>
      </c>
      <c r="E139" s="1" t="s">
        <v>107</v>
      </c>
      <c r="F139" s="1" t="s">
        <v>12</v>
      </c>
      <c r="G139" s="1" t="s">
        <v>42</v>
      </c>
      <c r="H139" s="1">
        <v>7.64132019E8</v>
      </c>
      <c r="I139" s="1">
        <v>7.5204017218E10</v>
      </c>
    </row>
    <row r="140">
      <c r="A140" s="1">
        <f t="shared" si="1"/>
        <v>139</v>
      </c>
      <c r="B140" s="1">
        <v>1.22001374E8</v>
      </c>
      <c r="C140" s="1" t="s">
        <v>232</v>
      </c>
      <c r="D140" s="1" t="s">
        <v>288</v>
      </c>
      <c r="E140" s="1" t="s">
        <v>191</v>
      </c>
      <c r="F140" s="1" t="s">
        <v>12</v>
      </c>
      <c r="G140" s="2">
        <v>37987.0</v>
      </c>
      <c r="H140" s="1">
        <v>3.3440165E8</v>
      </c>
      <c r="I140" s="1">
        <v>7.5204007814E10</v>
      </c>
    </row>
    <row r="141">
      <c r="A141" s="1">
        <f t="shared" si="1"/>
        <v>140</v>
      </c>
      <c r="B141" s="1">
        <v>1.22001375E8</v>
      </c>
      <c r="C141" s="1" t="s">
        <v>232</v>
      </c>
      <c r="D141" s="1" t="s">
        <v>289</v>
      </c>
      <c r="E141" s="1" t="s">
        <v>200</v>
      </c>
      <c r="F141" s="1" t="s">
        <v>12</v>
      </c>
      <c r="G141" s="2">
        <v>38176.0</v>
      </c>
      <c r="H141" s="1">
        <v>3.39005416E8</v>
      </c>
      <c r="I141" s="1">
        <v>7.5204003295E10</v>
      </c>
    </row>
    <row r="142">
      <c r="A142" s="1">
        <f t="shared" si="1"/>
        <v>141</v>
      </c>
      <c r="B142" s="1">
        <v>1.22001433E8</v>
      </c>
      <c r="C142" s="1" t="s">
        <v>232</v>
      </c>
      <c r="D142" s="1" t="s">
        <v>190</v>
      </c>
      <c r="E142" s="1" t="s">
        <v>290</v>
      </c>
      <c r="F142" s="1" t="s">
        <v>12</v>
      </c>
      <c r="G142" s="2">
        <v>38052.0</v>
      </c>
      <c r="H142" s="1">
        <v>3.86438891E8</v>
      </c>
      <c r="I142" s="1">
        <v>3.620401314E10</v>
      </c>
    </row>
    <row r="143">
      <c r="A143" s="1">
        <f t="shared" si="1"/>
        <v>142</v>
      </c>
      <c r="B143" s="1">
        <v>1.22001545E8</v>
      </c>
      <c r="C143" s="1" t="s">
        <v>232</v>
      </c>
      <c r="D143" s="1" t="s">
        <v>80</v>
      </c>
      <c r="E143" s="1" t="s">
        <v>55</v>
      </c>
      <c r="F143" s="1" t="s">
        <v>12</v>
      </c>
      <c r="G143" s="2">
        <v>38051.0</v>
      </c>
      <c r="H143" s="1">
        <v>3.89255416E8</v>
      </c>
      <c r="I143" s="1">
        <v>7.520402289E10</v>
      </c>
    </row>
    <row r="144">
      <c r="A144" s="1">
        <f t="shared" si="1"/>
        <v>143</v>
      </c>
      <c r="B144" s="1">
        <v>1.21000551E8</v>
      </c>
      <c r="C144" s="1" t="s">
        <v>291</v>
      </c>
      <c r="D144" s="1" t="s">
        <v>292</v>
      </c>
      <c r="E144" s="1" t="s">
        <v>27</v>
      </c>
      <c r="F144" s="1" t="s">
        <v>12</v>
      </c>
      <c r="G144" s="1" t="s">
        <v>293</v>
      </c>
      <c r="H144" s="1">
        <v>9.29276287E8</v>
      </c>
      <c r="I144" s="1">
        <v>7.5203016284E10</v>
      </c>
    </row>
    <row r="145">
      <c r="A145" s="1">
        <f t="shared" si="1"/>
        <v>144</v>
      </c>
      <c r="B145" s="1">
        <v>1.22000192E8</v>
      </c>
      <c r="C145" s="1" t="s">
        <v>291</v>
      </c>
      <c r="D145" s="1" t="s">
        <v>294</v>
      </c>
      <c r="E145" s="1" t="s">
        <v>245</v>
      </c>
      <c r="F145" s="1" t="s">
        <v>12</v>
      </c>
      <c r="G145" s="2">
        <v>38145.0</v>
      </c>
      <c r="H145" s="1">
        <v>7.0287256E8</v>
      </c>
      <c r="I145" s="1">
        <v>2.76091753E8</v>
      </c>
    </row>
    <row r="146">
      <c r="A146" s="1">
        <f t="shared" si="1"/>
        <v>145</v>
      </c>
      <c r="B146" s="1">
        <v>1.22000203E8</v>
      </c>
      <c r="C146" s="1" t="s">
        <v>291</v>
      </c>
      <c r="D146" s="1" t="s">
        <v>295</v>
      </c>
      <c r="E146" s="1" t="s">
        <v>296</v>
      </c>
      <c r="F146" s="1" t="s">
        <v>18</v>
      </c>
      <c r="G146" s="1" t="s">
        <v>297</v>
      </c>
      <c r="H146" s="1">
        <v>3.63169755E8</v>
      </c>
      <c r="I146" s="1">
        <v>8.430400117E10</v>
      </c>
    </row>
    <row r="147">
      <c r="A147" s="1">
        <f t="shared" si="1"/>
        <v>146</v>
      </c>
      <c r="B147" s="1">
        <v>1.22000253E8</v>
      </c>
      <c r="C147" s="1" t="s">
        <v>291</v>
      </c>
      <c r="D147" s="1" t="s">
        <v>298</v>
      </c>
      <c r="E147" s="1" t="s">
        <v>109</v>
      </c>
      <c r="F147" s="1" t="s">
        <v>12</v>
      </c>
      <c r="G147" s="1" t="s">
        <v>299</v>
      </c>
      <c r="H147" s="1">
        <v>3.33849252E8</v>
      </c>
      <c r="I147" s="1">
        <v>7.5099005934E10</v>
      </c>
    </row>
    <row r="148">
      <c r="A148" s="1">
        <f t="shared" si="1"/>
        <v>147</v>
      </c>
      <c r="B148" s="1">
        <v>1.22000472E8</v>
      </c>
      <c r="C148" s="1" t="s">
        <v>291</v>
      </c>
      <c r="D148" s="1" t="s">
        <v>300</v>
      </c>
      <c r="E148" s="1" t="s">
        <v>191</v>
      </c>
      <c r="F148" s="1" t="s">
        <v>12</v>
      </c>
      <c r="G148" s="1" t="s">
        <v>301</v>
      </c>
      <c r="H148" s="1">
        <v>3.52667076E8</v>
      </c>
      <c r="I148" s="1">
        <v>7.4204007201E10</v>
      </c>
    </row>
    <row r="149">
      <c r="A149" s="1">
        <f t="shared" si="1"/>
        <v>148</v>
      </c>
      <c r="B149" s="1">
        <v>1.22000496E8</v>
      </c>
      <c r="C149" s="1" t="s">
        <v>291</v>
      </c>
      <c r="D149" s="1" t="s">
        <v>302</v>
      </c>
      <c r="E149" s="1" t="s">
        <v>245</v>
      </c>
      <c r="F149" s="1" t="s">
        <v>12</v>
      </c>
      <c r="G149" s="2">
        <v>38054.0</v>
      </c>
      <c r="H149" s="1">
        <v>3.93654728E8</v>
      </c>
      <c r="I149" s="1">
        <v>7.5204007703E10</v>
      </c>
    </row>
    <row r="150">
      <c r="A150" s="1">
        <f t="shared" si="1"/>
        <v>149</v>
      </c>
      <c r="B150" s="1">
        <v>1.22000702E8</v>
      </c>
      <c r="C150" s="1" t="s">
        <v>291</v>
      </c>
      <c r="D150" s="1" t="s">
        <v>39</v>
      </c>
      <c r="E150" s="1" t="s">
        <v>83</v>
      </c>
      <c r="F150" s="1" t="s">
        <v>12</v>
      </c>
      <c r="G150" s="2">
        <v>38231.0</v>
      </c>
      <c r="H150" s="1">
        <v>9.77882934E8</v>
      </c>
      <c r="I150" s="1">
        <v>7.5204015683E10</v>
      </c>
    </row>
    <row r="151">
      <c r="A151" s="1">
        <f t="shared" si="1"/>
        <v>150</v>
      </c>
      <c r="B151" s="1">
        <v>1.22000827E8</v>
      </c>
      <c r="C151" s="1" t="s">
        <v>291</v>
      </c>
      <c r="D151" s="1" t="s">
        <v>303</v>
      </c>
      <c r="E151" s="1" t="s">
        <v>132</v>
      </c>
      <c r="F151" s="1" t="s">
        <v>12</v>
      </c>
      <c r="G151" s="1" t="s">
        <v>304</v>
      </c>
      <c r="H151" s="1">
        <v>3.89551722E8</v>
      </c>
      <c r="I151" s="1">
        <v>2.76059767E8</v>
      </c>
    </row>
    <row r="152">
      <c r="A152" s="1">
        <f t="shared" si="1"/>
        <v>151</v>
      </c>
      <c r="B152" s="1">
        <v>1.2200099E8</v>
      </c>
      <c r="C152" s="1" t="s">
        <v>291</v>
      </c>
      <c r="D152" s="1" t="s">
        <v>305</v>
      </c>
      <c r="E152" s="1" t="s">
        <v>132</v>
      </c>
      <c r="F152" s="1" t="s">
        <v>12</v>
      </c>
      <c r="G152" s="1" t="s">
        <v>306</v>
      </c>
      <c r="H152" s="1">
        <v>3.47508697E8</v>
      </c>
      <c r="I152" s="1">
        <v>7.5204007975E10</v>
      </c>
    </row>
    <row r="153">
      <c r="A153" s="1">
        <f t="shared" si="1"/>
        <v>152</v>
      </c>
      <c r="B153" s="1">
        <v>1.22001128E8</v>
      </c>
      <c r="C153" s="1" t="s">
        <v>291</v>
      </c>
      <c r="D153" s="1" t="s">
        <v>307</v>
      </c>
      <c r="E153" s="1" t="s">
        <v>175</v>
      </c>
      <c r="F153" s="1" t="s">
        <v>12</v>
      </c>
      <c r="G153" s="1" t="s">
        <v>308</v>
      </c>
      <c r="H153" s="1">
        <v>3.27057313E8</v>
      </c>
      <c r="I153" s="1">
        <v>7.5204016391E10</v>
      </c>
    </row>
    <row r="154">
      <c r="A154" s="1">
        <f t="shared" si="1"/>
        <v>153</v>
      </c>
      <c r="B154" s="1">
        <v>1.22001383E8</v>
      </c>
      <c r="C154" s="1" t="s">
        <v>291</v>
      </c>
      <c r="D154" s="1" t="s">
        <v>309</v>
      </c>
      <c r="E154" s="1" t="s">
        <v>310</v>
      </c>
      <c r="F154" s="1" t="s">
        <v>12</v>
      </c>
      <c r="G154" s="2">
        <v>38110.0</v>
      </c>
      <c r="H154" s="1">
        <v>3.67401449E8</v>
      </c>
      <c r="I154" s="4">
        <v>2.31204E11</v>
      </c>
    </row>
    <row r="155">
      <c r="A155" s="1">
        <f t="shared" si="1"/>
        <v>154</v>
      </c>
      <c r="B155" s="1">
        <v>1.22001385E8</v>
      </c>
      <c r="C155" s="1" t="s">
        <v>291</v>
      </c>
      <c r="D155" s="1" t="s">
        <v>96</v>
      </c>
      <c r="E155" s="1" t="s">
        <v>91</v>
      </c>
      <c r="F155" s="1" t="s">
        <v>12</v>
      </c>
      <c r="G155" s="2">
        <v>38025.0</v>
      </c>
      <c r="H155" s="1">
        <v>3.57823141E8</v>
      </c>
      <c r="I155" s="1">
        <v>7.4204005427E10</v>
      </c>
    </row>
    <row r="156">
      <c r="A156" s="1">
        <f t="shared" si="1"/>
        <v>155</v>
      </c>
      <c r="B156" s="1">
        <v>1.22001389E8</v>
      </c>
      <c r="C156" s="1" t="s">
        <v>291</v>
      </c>
      <c r="D156" s="1" t="s">
        <v>311</v>
      </c>
      <c r="E156" s="1" t="s">
        <v>142</v>
      </c>
      <c r="F156" s="1" t="s">
        <v>12</v>
      </c>
      <c r="G156" s="2">
        <v>38047.0</v>
      </c>
      <c r="H156" s="1">
        <v>9.71420301E8</v>
      </c>
      <c r="I156" s="1">
        <v>7.5204003709E10</v>
      </c>
    </row>
    <row r="157">
      <c r="A157" s="1">
        <f t="shared" si="1"/>
        <v>156</v>
      </c>
      <c r="B157" s="1">
        <v>1.22001394E8</v>
      </c>
      <c r="C157" s="1" t="s">
        <v>291</v>
      </c>
      <c r="D157" s="1" t="s">
        <v>312</v>
      </c>
      <c r="E157" s="1" t="s">
        <v>313</v>
      </c>
      <c r="F157" s="1" t="s">
        <v>12</v>
      </c>
      <c r="G157" s="2">
        <v>38023.0</v>
      </c>
      <c r="H157" s="1">
        <v>8.48993079E8</v>
      </c>
      <c r="I157" s="1">
        <v>7.520400224E10</v>
      </c>
    </row>
    <row r="158">
      <c r="A158" s="1">
        <f t="shared" si="1"/>
        <v>157</v>
      </c>
      <c r="B158" s="1">
        <v>1.22001407E8</v>
      </c>
      <c r="C158" s="1" t="s">
        <v>291</v>
      </c>
      <c r="D158" s="1" t="s">
        <v>314</v>
      </c>
      <c r="E158" s="1" t="s">
        <v>30</v>
      </c>
      <c r="F158" s="1" t="s">
        <v>12</v>
      </c>
      <c r="G158" s="1" t="s">
        <v>315</v>
      </c>
      <c r="H158" s="1">
        <v>3.45543986E8</v>
      </c>
      <c r="I158" s="1">
        <v>2.76039304E8</v>
      </c>
    </row>
    <row r="159">
      <c r="A159" s="1">
        <f t="shared" si="1"/>
        <v>158</v>
      </c>
      <c r="B159" s="1">
        <v>1.22001416E8</v>
      </c>
      <c r="C159" s="1" t="s">
        <v>291</v>
      </c>
      <c r="D159" s="1" t="s">
        <v>316</v>
      </c>
      <c r="E159" s="1" t="s">
        <v>21</v>
      </c>
      <c r="F159" s="1" t="s">
        <v>12</v>
      </c>
      <c r="G159" s="1" t="s">
        <v>268</v>
      </c>
      <c r="H159" s="1">
        <v>3.94268896E8</v>
      </c>
      <c r="I159" s="1">
        <v>7.5204001842E10</v>
      </c>
    </row>
    <row r="160">
      <c r="A160" s="1">
        <f t="shared" si="1"/>
        <v>159</v>
      </c>
      <c r="B160" s="1">
        <v>1.22001425E8</v>
      </c>
      <c r="C160" s="1" t="s">
        <v>291</v>
      </c>
      <c r="D160" s="1" t="s">
        <v>317</v>
      </c>
      <c r="E160" s="1" t="s">
        <v>81</v>
      </c>
      <c r="F160" s="1" t="s">
        <v>12</v>
      </c>
      <c r="G160" s="1" t="s">
        <v>318</v>
      </c>
      <c r="H160" s="1">
        <v>9.69206761E8</v>
      </c>
      <c r="I160" s="1">
        <v>9.2204006924E10</v>
      </c>
    </row>
    <row r="161">
      <c r="A161" s="1">
        <f t="shared" si="1"/>
        <v>160</v>
      </c>
      <c r="B161" s="1">
        <v>1.22001446E8</v>
      </c>
      <c r="C161" s="1" t="s">
        <v>291</v>
      </c>
      <c r="D161" s="1" t="s">
        <v>319</v>
      </c>
      <c r="E161" s="1" t="s">
        <v>257</v>
      </c>
      <c r="F161" s="1" t="s">
        <v>12</v>
      </c>
      <c r="G161" s="3">
        <v>38271.0</v>
      </c>
      <c r="H161" s="1">
        <v>3.89579076E8</v>
      </c>
      <c r="I161" s="1">
        <v>7.4204007453E10</v>
      </c>
    </row>
    <row r="162">
      <c r="A162" s="1">
        <f t="shared" si="1"/>
        <v>161</v>
      </c>
      <c r="B162" s="1">
        <v>1.22001452E8</v>
      </c>
      <c r="C162" s="1" t="s">
        <v>291</v>
      </c>
      <c r="D162" s="1" t="s">
        <v>320</v>
      </c>
      <c r="E162" s="1" t="s">
        <v>11</v>
      </c>
      <c r="F162" s="1" t="s">
        <v>12</v>
      </c>
      <c r="G162" s="2">
        <v>38118.0</v>
      </c>
      <c r="H162" s="1">
        <v>9.4519601E8</v>
      </c>
      <c r="I162" s="1">
        <v>7.4204005732E10</v>
      </c>
    </row>
    <row r="163">
      <c r="A163" s="1">
        <f t="shared" si="1"/>
        <v>162</v>
      </c>
      <c r="B163" s="1">
        <v>1.22001458E8</v>
      </c>
      <c r="C163" s="1" t="s">
        <v>291</v>
      </c>
      <c r="D163" s="1" t="s">
        <v>321</v>
      </c>
      <c r="E163" s="1" t="s">
        <v>322</v>
      </c>
      <c r="F163" s="1" t="s">
        <v>12</v>
      </c>
      <c r="G163" s="1" t="s">
        <v>140</v>
      </c>
      <c r="H163" s="1">
        <v>8.46924089E8</v>
      </c>
      <c r="I163" s="1">
        <v>7.5204006737E10</v>
      </c>
    </row>
    <row r="164">
      <c r="A164" s="1">
        <f t="shared" si="1"/>
        <v>163</v>
      </c>
      <c r="B164" s="1">
        <v>1.22001459E8</v>
      </c>
      <c r="C164" s="1" t="s">
        <v>291</v>
      </c>
      <c r="D164" s="1" t="s">
        <v>323</v>
      </c>
      <c r="E164" s="1" t="s">
        <v>55</v>
      </c>
      <c r="F164" s="1" t="s">
        <v>12</v>
      </c>
      <c r="G164" s="2">
        <v>38150.0</v>
      </c>
      <c r="H164" s="1">
        <v>9.46122004E8</v>
      </c>
      <c r="I164" s="1">
        <v>1.0204001681E10</v>
      </c>
    </row>
    <row r="165">
      <c r="A165" s="1">
        <f t="shared" si="1"/>
        <v>164</v>
      </c>
      <c r="B165" s="1">
        <v>1.22001471E8</v>
      </c>
      <c r="C165" s="1" t="s">
        <v>291</v>
      </c>
      <c r="D165" s="1" t="s">
        <v>324</v>
      </c>
      <c r="E165" s="1" t="s">
        <v>325</v>
      </c>
      <c r="F165" s="1" t="s">
        <v>18</v>
      </c>
      <c r="G165" s="1" t="s">
        <v>326</v>
      </c>
      <c r="H165" s="1">
        <v>3.75931355E8</v>
      </c>
      <c r="I165" s="1">
        <v>7.5304012662E10</v>
      </c>
    </row>
    <row r="166">
      <c r="A166" s="1">
        <f t="shared" si="1"/>
        <v>165</v>
      </c>
      <c r="B166" s="1">
        <v>1.22001472E8</v>
      </c>
      <c r="C166" s="1" t="s">
        <v>291</v>
      </c>
      <c r="D166" s="1" t="s">
        <v>190</v>
      </c>
      <c r="E166" s="1" t="s">
        <v>327</v>
      </c>
      <c r="F166" s="1" t="s">
        <v>12</v>
      </c>
      <c r="G166" s="2">
        <v>38324.0</v>
      </c>
      <c r="H166" s="1">
        <v>8.66066583E8</v>
      </c>
      <c r="I166" s="1">
        <v>1.204051416E9</v>
      </c>
    </row>
    <row r="167">
      <c r="A167" s="1">
        <f t="shared" si="1"/>
        <v>166</v>
      </c>
      <c r="B167" s="1">
        <v>1.22001473E8</v>
      </c>
      <c r="C167" s="1" t="s">
        <v>291</v>
      </c>
      <c r="D167" s="1" t="s">
        <v>328</v>
      </c>
      <c r="E167" s="1" t="s">
        <v>27</v>
      </c>
      <c r="F167" s="1" t="s">
        <v>12</v>
      </c>
      <c r="G167" s="2">
        <v>38178.0</v>
      </c>
      <c r="H167" s="1">
        <v>8.16111891E8</v>
      </c>
      <c r="I167" s="1">
        <v>3.320400812E10</v>
      </c>
    </row>
    <row r="168">
      <c r="A168" s="1">
        <f t="shared" si="1"/>
        <v>167</v>
      </c>
      <c r="B168" s="1">
        <v>1.22001481E8</v>
      </c>
      <c r="C168" s="1" t="s">
        <v>291</v>
      </c>
      <c r="D168" s="1" t="s">
        <v>329</v>
      </c>
      <c r="E168" s="1" t="s">
        <v>327</v>
      </c>
      <c r="F168" s="1" t="s">
        <v>12</v>
      </c>
      <c r="G168" s="1" t="s">
        <v>330</v>
      </c>
      <c r="H168" s="1">
        <v>3.62798072E8</v>
      </c>
      <c r="I168" s="1">
        <v>6.6204004975E10</v>
      </c>
    </row>
    <row r="169">
      <c r="A169" s="1">
        <f t="shared" si="1"/>
        <v>168</v>
      </c>
      <c r="B169" s="1">
        <v>1.22001493E8</v>
      </c>
      <c r="C169" s="1" t="s">
        <v>291</v>
      </c>
      <c r="D169" s="1" t="s">
        <v>10</v>
      </c>
      <c r="E169" s="1" t="s">
        <v>175</v>
      </c>
      <c r="F169" s="1" t="s">
        <v>12</v>
      </c>
      <c r="G169" s="1" t="s">
        <v>243</v>
      </c>
      <c r="H169" s="1">
        <v>9.65782304E8</v>
      </c>
      <c r="I169" s="1">
        <v>7.5204005305E10</v>
      </c>
    </row>
    <row r="170">
      <c r="A170" s="1">
        <f t="shared" si="1"/>
        <v>169</v>
      </c>
      <c r="B170" s="1">
        <v>1.22001497E8</v>
      </c>
      <c r="C170" s="1" t="s">
        <v>291</v>
      </c>
      <c r="D170" s="1" t="s">
        <v>331</v>
      </c>
      <c r="E170" s="1" t="s">
        <v>332</v>
      </c>
      <c r="F170" s="1" t="s">
        <v>12</v>
      </c>
      <c r="G170" s="1" t="s">
        <v>306</v>
      </c>
      <c r="H170" s="1">
        <v>3.92167082E8</v>
      </c>
      <c r="I170" s="1">
        <v>7.5204019856E10</v>
      </c>
    </row>
    <row r="171">
      <c r="A171" s="1">
        <f t="shared" si="1"/>
        <v>170</v>
      </c>
      <c r="B171" s="1">
        <v>1.22001502E8</v>
      </c>
      <c r="C171" s="1" t="s">
        <v>291</v>
      </c>
      <c r="D171" s="1" t="s">
        <v>333</v>
      </c>
      <c r="E171" s="1" t="s">
        <v>40</v>
      </c>
      <c r="F171" s="1" t="s">
        <v>12</v>
      </c>
      <c r="G171" s="1" t="s">
        <v>334</v>
      </c>
      <c r="H171" s="5">
        <v>3.82047977E8</v>
      </c>
      <c r="I171" s="5">
        <v>2.76048975E8</v>
      </c>
    </row>
    <row r="172">
      <c r="A172" s="1">
        <f t="shared" si="1"/>
        <v>171</v>
      </c>
      <c r="B172" s="1">
        <v>1.22001541E8</v>
      </c>
      <c r="C172" s="5" t="s">
        <v>291</v>
      </c>
      <c r="D172" s="5" t="s">
        <v>335</v>
      </c>
      <c r="E172" s="5" t="s">
        <v>223</v>
      </c>
      <c r="F172" s="5" t="s">
        <v>12</v>
      </c>
      <c r="G172" s="5" t="s">
        <v>271</v>
      </c>
      <c r="H172" s="5">
        <v>3.25586629E8</v>
      </c>
      <c r="I172" s="5">
        <v>4.42040089E10</v>
      </c>
    </row>
    <row r="173">
      <c r="A173" s="1">
        <f t="shared" si="1"/>
        <v>172</v>
      </c>
      <c r="B173" s="1">
        <v>1.22001549E8</v>
      </c>
      <c r="C173" s="5" t="s">
        <v>291</v>
      </c>
      <c r="D173" s="5" t="s">
        <v>336</v>
      </c>
      <c r="E173" s="5" t="s">
        <v>55</v>
      </c>
      <c r="F173" s="5" t="s">
        <v>12</v>
      </c>
      <c r="G173" s="5" t="s">
        <v>337</v>
      </c>
      <c r="H173" s="5">
        <v>9.86375505E8</v>
      </c>
      <c r="I173" s="5">
        <v>7.5204007334E10</v>
      </c>
    </row>
    <row r="174">
      <c r="A174" s="1">
        <f t="shared" si="1"/>
        <v>173</v>
      </c>
      <c r="B174" s="1">
        <v>1.22001599E8</v>
      </c>
      <c r="C174" s="5" t="s">
        <v>291</v>
      </c>
      <c r="D174" s="5" t="s">
        <v>338</v>
      </c>
      <c r="E174" s="5" t="s">
        <v>30</v>
      </c>
      <c r="F174" s="5" t="s">
        <v>12</v>
      </c>
      <c r="G174" s="5" t="s">
        <v>187</v>
      </c>
      <c r="H174" s="5">
        <v>9.11418758E8</v>
      </c>
      <c r="I174" s="5">
        <v>7.5204012269E10</v>
      </c>
    </row>
    <row r="175">
      <c r="A175" s="1">
        <f t="shared" si="1"/>
        <v>174</v>
      </c>
      <c r="B175" s="5">
        <v>1.22001006E8</v>
      </c>
      <c r="C175" s="5" t="s">
        <v>339</v>
      </c>
      <c r="D175" s="5" t="s">
        <v>340</v>
      </c>
      <c r="E175" s="5" t="s">
        <v>30</v>
      </c>
      <c r="F175" s="5" t="s">
        <v>18</v>
      </c>
      <c r="G175" s="6">
        <v>38177.0</v>
      </c>
      <c r="H175" s="5">
        <v>3.94179828E8</v>
      </c>
      <c r="I175" s="5">
        <v>3.8304014163E10</v>
      </c>
    </row>
    <row r="176">
      <c r="A176" s="1">
        <f t="shared" si="1"/>
        <v>175</v>
      </c>
      <c r="B176" s="5">
        <v>1.22001123E8</v>
      </c>
      <c r="C176" s="5" t="s">
        <v>339</v>
      </c>
      <c r="D176" s="5" t="s">
        <v>341</v>
      </c>
      <c r="E176" s="5" t="s">
        <v>30</v>
      </c>
      <c r="F176" s="5" t="s">
        <v>18</v>
      </c>
      <c r="G176" s="5" t="s">
        <v>283</v>
      </c>
      <c r="H176" s="5">
        <v>3.29711433E8</v>
      </c>
      <c r="I176" s="5">
        <v>7.5304023423E10</v>
      </c>
    </row>
    <row r="177">
      <c r="A177" s="1">
        <f t="shared" si="1"/>
        <v>176</v>
      </c>
      <c r="B177" s="5">
        <v>1.22000293E8</v>
      </c>
      <c r="C177" s="5" t="s">
        <v>339</v>
      </c>
      <c r="D177" s="5" t="s">
        <v>342</v>
      </c>
      <c r="E177" s="5" t="s">
        <v>238</v>
      </c>
      <c r="F177" s="5" t="s">
        <v>12</v>
      </c>
      <c r="G177" s="5" t="s">
        <v>343</v>
      </c>
      <c r="H177" s="5">
        <v>3.47279839E8</v>
      </c>
      <c r="I177" s="5">
        <v>7.4204008028E10</v>
      </c>
    </row>
    <row r="178">
      <c r="A178" s="1">
        <f t="shared" si="1"/>
        <v>177</v>
      </c>
      <c r="B178" s="5">
        <v>1.22001259E8</v>
      </c>
      <c r="C178" s="5" t="s">
        <v>339</v>
      </c>
      <c r="D178" s="5" t="s">
        <v>316</v>
      </c>
      <c r="E178" s="5" t="s">
        <v>200</v>
      </c>
      <c r="F178" s="5" t="s">
        <v>12</v>
      </c>
      <c r="G178" s="6">
        <v>38026.0</v>
      </c>
      <c r="H178" s="5">
        <v>8.68879933E8</v>
      </c>
      <c r="I178" s="5">
        <v>4.0204001971E10</v>
      </c>
    </row>
    <row r="179">
      <c r="A179" s="1">
        <f t="shared" si="1"/>
        <v>178</v>
      </c>
      <c r="B179" s="5">
        <v>1.2200115E8</v>
      </c>
      <c r="C179" s="5" t="s">
        <v>339</v>
      </c>
      <c r="D179" s="5" t="s">
        <v>344</v>
      </c>
      <c r="E179" s="5" t="s">
        <v>345</v>
      </c>
      <c r="F179" s="5" t="s">
        <v>18</v>
      </c>
      <c r="G179" s="5" t="s">
        <v>346</v>
      </c>
      <c r="H179" s="5">
        <v>3.42194283E8</v>
      </c>
      <c r="I179" s="5">
        <v>7.5304019054E10</v>
      </c>
    </row>
    <row r="180">
      <c r="A180" s="1">
        <f t="shared" si="1"/>
        <v>179</v>
      </c>
      <c r="B180" s="5">
        <v>1.22000728E8</v>
      </c>
      <c r="C180" s="5" t="s">
        <v>339</v>
      </c>
      <c r="D180" s="5" t="s">
        <v>347</v>
      </c>
      <c r="E180" s="5" t="s">
        <v>47</v>
      </c>
      <c r="F180" s="5" t="s">
        <v>18</v>
      </c>
      <c r="G180" s="5" t="s">
        <v>348</v>
      </c>
      <c r="H180" s="5">
        <v>9.18639626E8</v>
      </c>
      <c r="I180" s="5">
        <v>7.5304007521E10</v>
      </c>
    </row>
    <row r="181">
      <c r="A181" s="1">
        <f t="shared" si="1"/>
        <v>180</v>
      </c>
      <c r="B181" s="5">
        <v>1.22001526E8</v>
      </c>
      <c r="C181" s="5" t="s">
        <v>339</v>
      </c>
      <c r="D181" s="5" t="s">
        <v>349</v>
      </c>
      <c r="E181" s="5" t="s">
        <v>24</v>
      </c>
      <c r="F181" s="5" t="s">
        <v>12</v>
      </c>
      <c r="G181" s="5" t="s">
        <v>350</v>
      </c>
      <c r="H181" s="5">
        <v>8.68373842E8</v>
      </c>
      <c r="I181" s="5">
        <v>7.5202011637E10</v>
      </c>
    </row>
    <row r="182">
      <c r="A182" s="1">
        <f t="shared" si="1"/>
        <v>181</v>
      </c>
      <c r="B182" s="5">
        <v>1.22000056E8</v>
      </c>
      <c r="C182" s="5" t="s">
        <v>339</v>
      </c>
      <c r="D182" s="5" t="s">
        <v>351</v>
      </c>
      <c r="E182" s="5" t="s">
        <v>107</v>
      </c>
      <c r="F182" s="5" t="s">
        <v>12</v>
      </c>
      <c r="G182" s="5" t="s">
        <v>88</v>
      </c>
      <c r="H182" s="5">
        <v>9.47339279E8</v>
      </c>
      <c r="I182" s="5">
        <v>7.5203023539E10</v>
      </c>
    </row>
    <row r="183">
      <c r="A183" s="1">
        <f t="shared" si="1"/>
        <v>182</v>
      </c>
      <c r="B183" s="5">
        <v>1.22000611E8</v>
      </c>
      <c r="C183" s="5" t="s">
        <v>339</v>
      </c>
      <c r="D183" s="5" t="s">
        <v>352</v>
      </c>
      <c r="E183" s="5" t="s">
        <v>353</v>
      </c>
      <c r="F183" s="5" t="s">
        <v>18</v>
      </c>
      <c r="G183" s="5" t="s">
        <v>354</v>
      </c>
      <c r="H183" s="5">
        <v>3.73681914E8</v>
      </c>
      <c r="I183" s="5">
        <v>7.5304020324E10</v>
      </c>
    </row>
    <row r="184">
      <c r="A184" s="1">
        <f t="shared" si="1"/>
        <v>183</v>
      </c>
      <c r="B184" s="5">
        <v>1.22000284E8</v>
      </c>
      <c r="C184" s="5" t="s">
        <v>339</v>
      </c>
      <c r="D184" s="5" t="s">
        <v>355</v>
      </c>
      <c r="E184" s="5" t="s">
        <v>50</v>
      </c>
      <c r="F184" s="5" t="s">
        <v>12</v>
      </c>
      <c r="G184" s="5" t="s">
        <v>356</v>
      </c>
      <c r="H184" s="5">
        <v>3.39746902E8</v>
      </c>
      <c r="I184" s="5">
        <v>7.5204009088E10</v>
      </c>
    </row>
    <row r="185">
      <c r="A185" s="1">
        <f t="shared" si="1"/>
        <v>184</v>
      </c>
      <c r="B185" s="5">
        <v>1.22000416E8</v>
      </c>
      <c r="C185" s="5" t="s">
        <v>339</v>
      </c>
      <c r="D185" s="5" t="s">
        <v>192</v>
      </c>
      <c r="E185" s="5" t="s">
        <v>357</v>
      </c>
      <c r="F185" s="5" t="s">
        <v>12</v>
      </c>
      <c r="G185" s="6">
        <v>38201.0</v>
      </c>
      <c r="H185" s="5">
        <v>3.72517173E8</v>
      </c>
      <c r="I185" s="5">
        <v>5.4204001434E10</v>
      </c>
    </row>
    <row r="186">
      <c r="A186" s="1">
        <f t="shared" si="1"/>
        <v>185</v>
      </c>
      <c r="B186" s="5">
        <v>1.22000286E8</v>
      </c>
      <c r="C186" s="5" t="s">
        <v>339</v>
      </c>
      <c r="D186" s="5" t="s">
        <v>358</v>
      </c>
      <c r="E186" s="5" t="s">
        <v>109</v>
      </c>
      <c r="F186" s="5" t="s">
        <v>12</v>
      </c>
      <c r="G186" s="6">
        <v>38057.0</v>
      </c>
      <c r="H186" s="5">
        <v>7.92538899E8</v>
      </c>
      <c r="I186" s="5">
        <v>7.5204020552E10</v>
      </c>
    </row>
    <row r="187">
      <c r="A187" s="1">
        <f t="shared" si="1"/>
        <v>186</v>
      </c>
      <c r="B187" s="5">
        <v>1.22000406E8</v>
      </c>
      <c r="C187" s="5" t="s">
        <v>339</v>
      </c>
      <c r="D187" s="5" t="s">
        <v>359</v>
      </c>
      <c r="E187" s="5" t="s">
        <v>360</v>
      </c>
      <c r="F187" s="5" t="s">
        <v>18</v>
      </c>
      <c r="G187" s="6">
        <v>38326.0</v>
      </c>
      <c r="H187" s="5">
        <v>7.98120504E8</v>
      </c>
      <c r="I187" s="5">
        <v>7.5304007045E10</v>
      </c>
    </row>
    <row r="188">
      <c r="A188" s="1">
        <f t="shared" si="1"/>
        <v>187</v>
      </c>
      <c r="B188" s="5">
        <v>1.22001043E8</v>
      </c>
      <c r="C188" s="5" t="s">
        <v>339</v>
      </c>
      <c r="D188" s="5" t="s">
        <v>361</v>
      </c>
      <c r="E188" s="5" t="s">
        <v>362</v>
      </c>
      <c r="F188" s="5" t="s">
        <v>18</v>
      </c>
      <c r="G188" s="5" t="s">
        <v>48</v>
      </c>
      <c r="H188" s="5">
        <v>3.38208209E8</v>
      </c>
      <c r="I188" s="5">
        <v>7.5304025097E10</v>
      </c>
    </row>
    <row r="189">
      <c r="A189" s="1">
        <f t="shared" si="1"/>
        <v>188</v>
      </c>
      <c r="B189" s="5">
        <v>1.22001008E8</v>
      </c>
      <c r="C189" s="5" t="s">
        <v>339</v>
      </c>
      <c r="D189" s="5" t="s">
        <v>333</v>
      </c>
      <c r="E189" s="5" t="s">
        <v>208</v>
      </c>
      <c r="F189" s="5" t="s">
        <v>12</v>
      </c>
      <c r="G189" s="5" t="s">
        <v>28</v>
      </c>
      <c r="H189" s="5">
        <v>8.6228691E8</v>
      </c>
      <c r="I189" s="7"/>
    </row>
    <row r="190">
      <c r="A190" s="1">
        <f t="shared" si="1"/>
        <v>189</v>
      </c>
      <c r="B190" s="5">
        <v>1.22000859E8</v>
      </c>
      <c r="C190" s="5" t="s">
        <v>339</v>
      </c>
      <c r="D190" s="5" t="s">
        <v>363</v>
      </c>
      <c r="E190" s="5" t="s">
        <v>364</v>
      </c>
      <c r="F190" s="5" t="s">
        <v>18</v>
      </c>
      <c r="G190" s="6">
        <v>38203.0</v>
      </c>
      <c r="H190" s="5">
        <v>9.19609189E8</v>
      </c>
      <c r="I190" s="5">
        <v>7.5304014668E10</v>
      </c>
    </row>
    <row r="191">
      <c r="A191" s="1">
        <f t="shared" si="1"/>
        <v>190</v>
      </c>
      <c r="B191" s="5">
        <v>1.22001384E8</v>
      </c>
      <c r="C191" s="5" t="s">
        <v>339</v>
      </c>
      <c r="D191" s="5" t="s">
        <v>365</v>
      </c>
      <c r="E191" s="5" t="s">
        <v>366</v>
      </c>
      <c r="F191" s="5" t="s">
        <v>18</v>
      </c>
      <c r="G191" s="5" t="s">
        <v>173</v>
      </c>
      <c r="H191" s="5">
        <v>3.68740633E8</v>
      </c>
      <c r="I191" s="5">
        <v>7.5304010351E10</v>
      </c>
    </row>
    <row r="192">
      <c r="A192" s="1">
        <f t="shared" si="1"/>
        <v>191</v>
      </c>
      <c r="B192" s="5">
        <v>1.22001292E8</v>
      </c>
      <c r="C192" s="5" t="s">
        <v>339</v>
      </c>
      <c r="D192" s="5" t="s">
        <v>367</v>
      </c>
      <c r="E192" s="5" t="s">
        <v>368</v>
      </c>
      <c r="F192" s="5" t="s">
        <v>18</v>
      </c>
      <c r="G192" s="6">
        <v>38109.0</v>
      </c>
      <c r="H192" s="5">
        <v>3.56972425E8</v>
      </c>
      <c r="I192" s="5">
        <v>7.5304018645E10</v>
      </c>
    </row>
    <row r="193">
      <c r="A193" s="1">
        <f t="shared" si="1"/>
        <v>192</v>
      </c>
      <c r="B193" s="5">
        <v>1.22001411E8</v>
      </c>
      <c r="C193" s="5" t="s">
        <v>339</v>
      </c>
      <c r="D193" s="5" t="s">
        <v>369</v>
      </c>
      <c r="E193" s="5" t="s">
        <v>370</v>
      </c>
      <c r="F193" s="5" t="s">
        <v>18</v>
      </c>
      <c r="G193" s="5" t="s">
        <v>371</v>
      </c>
      <c r="H193" s="5">
        <v>3.34127732E8</v>
      </c>
      <c r="I193" s="5">
        <v>1.30404042E9</v>
      </c>
    </row>
    <row r="194">
      <c r="A194" s="1">
        <f t="shared" si="1"/>
        <v>193</v>
      </c>
      <c r="B194" s="5">
        <v>1.2200026E8</v>
      </c>
      <c r="C194" s="5" t="s">
        <v>339</v>
      </c>
      <c r="D194" s="5" t="s">
        <v>372</v>
      </c>
      <c r="E194" s="5" t="s">
        <v>373</v>
      </c>
      <c r="F194" s="5" t="s">
        <v>12</v>
      </c>
      <c r="G194" s="8">
        <v>36871.0</v>
      </c>
      <c r="H194" s="5">
        <v>7.04578067E8</v>
      </c>
      <c r="I194" s="5">
        <v>2.72729722E8</v>
      </c>
    </row>
    <row r="195">
      <c r="A195" s="1">
        <f t="shared" si="1"/>
        <v>194</v>
      </c>
      <c r="B195" s="5">
        <v>1.22000188E8</v>
      </c>
      <c r="C195" s="5" t="s">
        <v>339</v>
      </c>
      <c r="D195" s="5" t="s">
        <v>374</v>
      </c>
      <c r="E195" s="5" t="s">
        <v>375</v>
      </c>
      <c r="F195" s="5" t="s">
        <v>12</v>
      </c>
      <c r="G195" s="5" t="s">
        <v>376</v>
      </c>
      <c r="H195" s="5">
        <v>9.73269384E8</v>
      </c>
      <c r="I195" s="5">
        <v>7.5204001873E10</v>
      </c>
    </row>
    <row r="196">
      <c r="A196" s="1">
        <f t="shared" si="1"/>
        <v>195</v>
      </c>
      <c r="B196" s="5">
        <v>1.22001256E8</v>
      </c>
      <c r="C196" s="5" t="s">
        <v>339</v>
      </c>
      <c r="D196" s="5" t="s">
        <v>193</v>
      </c>
      <c r="E196" s="5" t="s">
        <v>377</v>
      </c>
      <c r="F196" s="5" t="s">
        <v>12</v>
      </c>
      <c r="G196" s="5" t="s">
        <v>378</v>
      </c>
      <c r="H196" s="5">
        <v>3.48379672E8</v>
      </c>
      <c r="I196" s="5">
        <v>5.8204001827E10</v>
      </c>
    </row>
    <row r="197">
      <c r="A197" s="1">
        <f t="shared" si="1"/>
        <v>196</v>
      </c>
      <c r="B197" s="5">
        <v>1.22001353E8</v>
      </c>
      <c r="C197" s="5" t="s">
        <v>339</v>
      </c>
      <c r="D197" s="5" t="s">
        <v>379</v>
      </c>
      <c r="E197" s="5" t="s">
        <v>249</v>
      </c>
      <c r="F197" s="5" t="s">
        <v>18</v>
      </c>
      <c r="G197" s="5" t="s">
        <v>380</v>
      </c>
      <c r="H197" s="5">
        <v>9.68171387E8</v>
      </c>
      <c r="I197" s="5">
        <v>9.5304005304E10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 customWidth="1" min="7" max="7" width="35.38"/>
    <col customWidth="1" min="8" max="8" width="30.75"/>
    <col customWidth="1" min="9" max="9" width="30.63"/>
    <col customWidth="1" min="10" max="10" width="29.13"/>
    <col customWidth="1" min="13" max="13" width="26.5"/>
    <col customWidth="1" min="14" max="14" width="61.88"/>
    <col customWidth="1" min="15" max="15" width="18.63"/>
    <col customWidth="1" min="16" max="16" width="57.25"/>
    <col customWidth="1" min="17" max="17" width="19.63"/>
  </cols>
  <sheetData>
    <row r="1">
      <c r="A1" s="9" t="str">
        <f>IFERROR(__xludf.DUMMYFUNCTION("IMPORTRANGE(""https://docs.google.com/spreadsheets/d/1HtseJEbWZNzqg9UC7KaFWDompUG47h_TcSWC6V-BuSo/edit?resourcekey=&amp;gid=903065054#gid=903065054"",""Form Responses 1!A:Q"")"),"Timestamp")</f>
        <v>Timestamp</v>
      </c>
      <c r="B1" s="9" t="str">
        <f>IFERROR(__xludf.DUMMYFUNCTION("""COMPUTED_VALUE"""),"Email Address")</f>
        <v>Email Address</v>
      </c>
      <c r="C1" s="9" t="str">
        <f>IFERROR(__xludf.DUMMYFUNCTION("""COMPUTED_VALUE"""),"MSSV")</f>
        <v>MSSV</v>
      </c>
      <c r="D1" s="9" t="str">
        <f>IFERROR(__xludf.DUMMYFUNCTION("""COMPUTED_VALUE"""),"Họ  và tên")</f>
        <v>Họ  và tên</v>
      </c>
      <c r="E1" s="9" t="str">
        <f>IFERROR(__xludf.DUMMYFUNCTION("""COMPUTED_VALUE"""),"Số điện thoại")</f>
        <v>Số điện thoại</v>
      </c>
      <c r="F1" s="9" t="str">
        <f>IFERROR(__xludf.DUMMYFUNCTION("""COMPUTED_VALUE"""),"Lớp")</f>
        <v>Lớp</v>
      </c>
      <c r="G1" s="9" t="str">
        <f>IFERROR(__xludf.DUMMYFUNCTION("""COMPUTED_VALUE"""),"Thuộc diện")</f>
        <v>Thuộc diện</v>
      </c>
      <c r="H1" s="9" t="str">
        <f>IFERROR(__xludf.DUMMYFUNCTION("""COMPUTED_VALUE"""),"Giáo viên hướng dẫn")</f>
        <v>Giáo viên hướng dẫn</v>
      </c>
      <c r="I1" s="9" t="str">
        <f>IFERROR(__xludf.DUMMYFUNCTION("""COMPUTED_VALUE"""),"Tên Giáo viên (khi chọn Giáo viên khác)")</f>
        <v>Tên Giáo viên (khi chọn Giáo viên khác)</v>
      </c>
      <c r="J1" s="9" t="str">
        <f>IFERROR(__xludf.DUMMYFUNCTION("""COMPUTED_VALUE"""),"Tên đề tài")</f>
        <v>Tên đề tài</v>
      </c>
      <c r="K1" s="9" t="str">
        <f>IFERROR(__xludf.DUMMYFUNCTION("""COMPUTED_VALUE"""),"Mục tiêu")</f>
        <v>Mục tiêu</v>
      </c>
      <c r="L1" s="9" t="str">
        <f>IFERROR(__xludf.DUMMYFUNCTION("""COMPUTED_VALUE"""),"Nội dung thực hiện")</f>
        <v>Nội dung thực hiện</v>
      </c>
      <c r="M1" s="9" t="str">
        <f>IFERROR(__xludf.DUMMYFUNCTION("""COMPUTED_VALUE"""),"Ghi chú (Nếu có)")</f>
        <v>Ghi chú (Nếu có)</v>
      </c>
      <c r="N1" s="9" t="str">
        <f>IFERROR(__xludf.DUMMYFUNCTION("""COMPUTED_VALUE"""),"Số quyết đinh đặc cách (Nếu chưa có ghi rõ là được đặc cách do trường hợp nào)")</f>
        <v>Số quyết đinh đặc cách (Nếu chưa có ghi rõ là được đặc cách do trường hợp nào)</v>
      </c>
      <c r="O1" s="9" t="str">
        <f>IFERROR(__xludf.DUMMYFUNCTION("""COMPUTED_VALUE"""),"Số điểm được đặc cách")</f>
        <v>Số điểm được đặc cách</v>
      </c>
      <c r="P1" s="9" t="str">
        <f>IFERROR(__xludf.DUMMYFUNCTION("""COMPUTED_VALUE"""),"Minh chứng về việc đặc cách
(Sinh viên nộp các minh chứng được đặc cách)")</f>
        <v>Minh chứng về việc đặc cách
(Sinh viên nộp các minh chứng được đặc cách)</v>
      </c>
      <c r="Q1" s="9" t="str">
        <f>IFERROR(__xludf.DUMMYFUNCTION("""COMPUTED_VALUE"""),"Đợt tốt nghiệp")</f>
        <v>Đợt tốt nghiệp</v>
      </c>
    </row>
    <row r="2" ht="20.25" customHeight="1">
      <c r="A2" s="10">
        <f>IFERROR(__xludf.DUMMYFUNCTION("""COMPUTED_VALUE"""),45820.40870215278)</f>
        <v>45820.4087</v>
      </c>
      <c r="B2" s="9" t="str">
        <f>IFERROR(__xludf.DUMMYFUNCTION("""COMPUTED_VALUE"""),"thanhdanhdnbk@gmail.com")</f>
        <v>thanhdanhdnbk@gmail.com</v>
      </c>
      <c r="C2" s="9">
        <f>IFERROR(__xludf.DUMMYFUNCTION("""COMPUTED_VALUE"""),5.24000481E8)</f>
        <v>524000481</v>
      </c>
      <c r="D2" s="9" t="str">
        <f>IFERROR(__xludf.DUMMYFUNCTION("""COMPUTED_VALUE"""),"Đặng Giang Thành Danh")</f>
        <v>Đặng Giang Thành Danh</v>
      </c>
      <c r="E2" s="9" t="str">
        <f>IFERROR(__xludf.DUMMYFUNCTION("""COMPUTED_VALUE"""),"0815874119")</f>
        <v>0815874119</v>
      </c>
      <c r="F2" s="9" t="str">
        <f>IFERROR(__xludf.DUMMYFUNCTION("""COMPUTED_VALUE"""),"24CT502")</f>
        <v>24CT502</v>
      </c>
      <c r="G2" s="9" t="str">
        <f>IFERROR(__xludf.DUMMYFUNCTION("""COMPUTED_VALUE"""),"Thực hiện đồ án tốt nghiệp")</f>
        <v>Thực hiện đồ án tốt nghiệp</v>
      </c>
      <c r="H2" s="9" t="str">
        <f>IFERROR(__xludf.DUMMYFUNCTION("""COMPUTED_VALUE"""),"Văn Đình Vỹ Phương")</f>
        <v>Văn Đình Vỹ Phương</v>
      </c>
      <c r="I2" s="9"/>
      <c r="J2" s="9" t="str">
        <f>IFERROR(__xludf.DUMMYFUNCTION("""COMPUTED_VALUE"""),"Nghiên cứu và triển khai mạng Mesh lai (Hybird Mesh Networks) kết hợp công nghệ có dây và không dây để nâng cao hiệu suất")</f>
        <v>Nghiên cứu và triển khai mạng Mesh lai (Hybird Mesh Networks) kết hợp công nghệ có dây và không dây để nâng cao hiệu suất</v>
      </c>
      <c r="K2" s="9" t="str">
        <f>IFERROR(__xludf.DUMMYFUNCTION("""COMPUTED_VALUE"""),"Nâng cao hiệu suất Wifi hỗ trợ Giao viên giảng dạy và kết nối Camera trong lớp học")</f>
        <v>Nâng cao hiệu suất Wifi hỗ trợ Giao viên giảng dạy và kết nối Camera trong lớp học</v>
      </c>
      <c r="L2" s="9" t="str">
        <f>IFERROR(__xludf.DUMMYFUNCTION("""COMPUTED_VALUE"""),"Cấu hình Router và thực hiện kết nối Mesh không dây và có dây")</f>
        <v>Cấu hình Router và thực hiện kết nối Mesh không dây và có dây</v>
      </c>
      <c r="M2" s="9"/>
      <c r="N2" s="9"/>
      <c r="O2" s="9"/>
      <c r="P2" s="9"/>
      <c r="Q2" s="9" t="str">
        <f>IFERROR(__xludf.DUMMYFUNCTION("""COMPUTED_VALUE"""),"TNDHLTK24_20251001")</f>
        <v>TNDHLTK24_20251001</v>
      </c>
    </row>
    <row r="3" ht="20.25" customHeight="1">
      <c r="A3" s="10">
        <f>IFERROR(__xludf.DUMMYFUNCTION("""COMPUTED_VALUE"""),45820.41710918982)</f>
        <v>45820.41711</v>
      </c>
      <c r="B3" s="9" t="str">
        <f>IFERROR(__xludf.DUMMYFUNCTION("""COMPUTED_VALUE"""),"netquochai@gmail.com")</f>
        <v>netquochai@gmail.com</v>
      </c>
      <c r="C3" s="9">
        <f>IFERROR(__xludf.DUMMYFUNCTION("""COMPUTED_VALUE"""),7.24000021E8)</f>
        <v>724000021</v>
      </c>
      <c r="D3" s="9" t="str">
        <f>IFERROR(__xludf.DUMMYFUNCTION("""COMPUTED_VALUE"""),"Trần Quốc Hải")</f>
        <v>Trần Quốc Hải</v>
      </c>
      <c r="E3" s="9" t="str">
        <f>IFERROR(__xludf.DUMMYFUNCTION("""COMPUTED_VALUE"""),"0912248361")</f>
        <v>0912248361</v>
      </c>
      <c r="F3" s="9" t="str">
        <f>IFERROR(__xludf.DUMMYFUNCTION("""COMPUTED_VALUE"""),"24CT703")</f>
        <v>24CT703</v>
      </c>
      <c r="G3" s="9" t="str">
        <f>IFERROR(__xludf.DUMMYFUNCTION("""COMPUTED_VALUE"""),"Thực hiện đồ án tốt nghiệp")</f>
        <v>Thực hiện đồ án tốt nghiệp</v>
      </c>
      <c r="H3" s="9" t="str">
        <f>IFERROR(__xludf.DUMMYFUNCTION("""COMPUTED_VALUE"""),"Phan Mạnh Thường")</f>
        <v>Phan Mạnh Thường</v>
      </c>
      <c r="I3" s="9"/>
      <c r="J3" s="9" t="str">
        <f>IFERROR(__xludf.DUMMYFUNCTION("""COMPUTED_VALUE"""),"HỆ THỐNG QUẢN LÝ PHÒNG KHÁM")</f>
        <v>HỆ THỐNG QUẢN LÝ PHÒNG KHÁM</v>
      </c>
      <c r="K3" s="9" t="str">
        <f>IFERROR(__xludf.DUMMYFUNCTION("""COMPUTED_VALUE"""),"Xây dựng hệ thống quản lý toàn bộ hoạt động phòng khám")</f>
        <v>Xây dựng hệ thống quản lý toàn bộ hoạt động phòng khám</v>
      </c>
      <c r="L3" s="9" t="str">
        <f>IFERROR(__xludf.DUMMYFUNCTION("""COMPUTED_VALUE"""),"Quản lý bệnh nhân, đơn thuốc, kho dược, báo cáo, phân quyền,..")</f>
        <v>Quản lý bệnh nhân, đơn thuốc, kho dược, báo cáo, phân quyền,..</v>
      </c>
      <c r="M3" s="9"/>
      <c r="N3" s="9"/>
      <c r="O3" s="9"/>
      <c r="P3" s="9"/>
      <c r="Q3" s="9" t="str">
        <f>IFERROR(__xludf.DUMMYFUNCTION("""COMPUTED_VALUE"""),"TNDHLTK24_20251001")</f>
        <v>TNDHLTK24_20251001</v>
      </c>
    </row>
    <row r="4" ht="20.25" customHeight="1">
      <c r="A4" s="10">
        <f>IFERROR(__xludf.DUMMYFUNCTION("""COMPUTED_VALUE"""),45820.8919641088)</f>
        <v>45820.89196</v>
      </c>
      <c r="B4" s="9" t="str">
        <f>IFERROR(__xludf.DUMMYFUNCTION("""COMPUTED_VALUE"""),"phancham516@gmail.com")</f>
        <v>phancham516@gmail.com</v>
      </c>
      <c r="C4" s="9">
        <f>IFERROR(__xludf.DUMMYFUNCTION("""COMPUTED_VALUE"""),7.24000038E8)</f>
        <v>724000038</v>
      </c>
      <c r="D4" s="9" t="str">
        <f>IFERROR(__xludf.DUMMYFUNCTION("""COMPUTED_VALUE"""),"Phan Thị Chăm")</f>
        <v>Phan Thị Chăm</v>
      </c>
      <c r="E4" s="9" t="str">
        <f>IFERROR(__xludf.DUMMYFUNCTION("""COMPUTED_VALUE"""),"0917206462")</f>
        <v>0917206462</v>
      </c>
      <c r="F4" s="9" t="str">
        <f>IFERROR(__xludf.DUMMYFUNCTION("""COMPUTED_VALUE"""),"24CT703")</f>
        <v>24CT703</v>
      </c>
      <c r="G4" s="9" t="str">
        <f>IFERROR(__xludf.DUMMYFUNCTION("""COMPUTED_VALUE"""),"Thực hiện đồ án tốt nghiệp")</f>
        <v>Thực hiện đồ án tốt nghiệp</v>
      </c>
      <c r="H4" s="9" t="str">
        <f>IFERROR(__xludf.DUMMYFUNCTION("""COMPUTED_VALUE"""),"Phan Mạnh Thường")</f>
        <v>Phan Mạnh Thường</v>
      </c>
      <c r="I4" s="9"/>
      <c r="J4" s="9" t="str">
        <f>IFERROR(__xludf.DUMMYFUNCTION("""COMPUTED_VALUE"""),"ỨNG DỤNG QUẢN LÝ KINH DOANH VỀ DỊCH VỤ VIỄN THÔNG VÀ CÔNG NGHỆ THÔNG TIN CỦA VNPT")</f>
        <v>ỨNG DỤNG QUẢN LÝ KINH DOANH VỀ DỊCH VỤ VIỄN THÔNG VÀ CÔNG NGHỆ THÔNG TIN CỦA VNPT</v>
      </c>
      <c r="K4" s="9" t="str">
        <f>IFERROR(__xludf.DUMMYFUNCTION("""COMPUTED_VALUE"""),"THIẾT KẾ 1 WEB QUẢN LÝ KINH DOANH VỀ CÁC SẢN PHẨM DV CỦA VNPT")</f>
        <v>THIẾT KẾ 1 WEB QUẢN LÝ KINH DOANH VỀ CÁC SẢN PHẨM DV CỦA VNPT</v>
      </c>
      <c r="L4" s="9" t="str">
        <f>IFERROR(__xludf.DUMMYFUNCTION("""COMPUTED_VALUE"""),"Xây dựng hệ thống trên nền tảng web hiện đại: HTML5, CSS3, JavaScript. VÀ kết hợp với Giao diện Responsive, sử dụng thư viện Bootstrap hoặc Tailwind CSS.")</f>
        <v>Xây dựng hệ thống trên nền tảng web hiện đại: HTML5, CSS3, JavaScript. VÀ kết hợp với Giao diện Responsive, sử dụng thư viện Bootstrap hoặc Tailwind CSS.</v>
      </c>
      <c r="M4" s="9"/>
      <c r="N4" s="9"/>
      <c r="O4" s="9"/>
      <c r="P4" s="9"/>
      <c r="Q4" s="9" t="str">
        <f>IFERROR(__xludf.DUMMYFUNCTION("""COMPUTED_VALUE"""),"TNDHLTK24_20251001")</f>
        <v>TNDHLTK24_20251001</v>
      </c>
    </row>
    <row r="5" ht="20.25" customHeight="1">
      <c r="A5" s="10">
        <f>IFERROR(__xludf.DUMMYFUNCTION("""COMPUTED_VALUE"""),45821.55766284722)</f>
        <v>45821.55766</v>
      </c>
      <c r="B5" s="9" t="str">
        <f>IFERROR(__xludf.DUMMYFUNCTION("""COMPUTED_VALUE"""),"luongthiyenthanh98@gmail.com")</f>
        <v>luongthiyenthanh98@gmail.com</v>
      </c>
      <c r="C5" s="9">
        <f>IFERROR(__xludf.DUMMYFUNCTION("""COMPUTED_VALUE"""),7.24000023E8)</f>
        <v>724000023</v>
      </c>
      <c r="D5" s="9" t="str">
        <f>IFERROR(__xludf.DUMMYFUNCTION("""COMPUTED_VALUE"""),"Lương Thị Yến Thanh")</f>
        <v>Lương Thị Yến Thanh</v>
      </c>
      <c r="E5" s="9" t="str">
        <f>IFERROR(__xludf.DUMMYFUNCTION("""COMPUTED_VALUE"""),"0912447870")</f>
        <v>0912447870</v>
      </c>
      <c r="F5" s="9" t="str">
        <f>IFERROR(__xludf.DUMMYFUNCTION("""COMPUTED_VALUE"""),"24CT702")</f>
        <v>24CT702</v>
      </c>
      <c r="G5" s="9" t="str">
        <f>IFERROR(__xludf.DUMMYFUNCTION("""COMPUTED_VALUE"""),"Thực hiện đồ án tốt nghiệp")</f>
        <v>Thực hiện đồ án tốt nghiệp</v>
      </c>
      <c r="H5" s="9" t="str">
        <f>IFERROR(__xludf.DUMMYFUNCTION("""COMPUTED_VALUE"""),"Bùi Thị Thu Trang")</f>
        <v>Bùi Thị Thu Trang</v>
      </c>
      <c r="I5" s="9"/>
      <c r="J5" s="9" t="str">
        <f>IFERROR(__xludf.DUMMYFUNCTION("""COMPUTED_VALUE"""),"Thiết kế giao diện website")</f>
        <v>Thiết kế giao diện website</v>
      </c>
      <c r="K5" s="9" t="str">
        <f>IFERROR(__xludf.DUMMYFUNCTION("""COMPUTED_VALUE"""),"Thiết kế giao diện website của một công ty truyền thông")</f>
        <v>Thiết kế giao diện website của một công ty truyền thông</v>
      </c>
      <c r="L5" s="9" t="str">
        <f>IFERROR(__xludf.DUMMYFUNCTION("""COMPUTED_VALUE"""),"Thiết kế giao diện dựa trên Figma")</f>
        <v>Thiết kế giao diện dựa trên Figma</v>
      </c>
      <c r="M5" s="9"/>
      <c r="N5" s="9"/>
      <c r="O5" s="9"/>
      <c r="P5" s="9"/>
      <c r="Q5" s="9" t="str">
        <f>IFERROR(__xludf.DUMMYFUNCTION("""COMPUTED_VALUE"""),"TNDHLTK24_20251001")</f>
        <v>TNDHLTK24_20251001</v>
      </c>
    </row>
    <row r="6" ht="20.25" customHeight="1">
      <c r="A6" s="10">
        <f>IFERROR(__xludf.DUMMYFUNCTION("""COMPUTED_VALUE"""),45821.7636853588)</f>
        <v>45821.76369</v>
      </c>
      <c r="B6" s="9" t="str">
        <f>IFERROR(__xludf.DUMMYFUNCTION("""COMPUTED_VALUE"""),"thutrang131217@gmail.com")</f>
        <v>thutrang131217@gmail.com</v>
      </c>
      <c r="C6" s="9">
        <f>IFERROR(__xludf.DUMMYFUNCTION("""COMPUTED_VALUE"""),7.24000016E8)</f>
        <v>724000016</v>
      </c>
      <c r="D6" s="9" t="str">
        <f>IFERROR(__xludf.DUMMYFUNCTION("""COMPUTED_VALUE"""),"Nguyễn Thị Thu Trang")</f>
        <v>Nguyễn Thị Thu Trang</v>
      </c>
      <c r="E6" s="9" t="str">
        <f>IFERROR(__xludf.DUMMYFUNCTION("""COMPUTED_VALUE"""),"0393053661")</f>
        <v>0393053661</v>
      </c>
      <c r="F6" s="9" t="str">
        <f>IFERROR(__xludf.DUMMYFUNCTION("""COMPUTED_VALUE"""),"24CT702")</f>
        <v>24CT702</v>
      </c>
      <c r="G6" s="9" t="str">
        <f>IFERROR(__xludf.DUMMYFUNCTION("""COMPUTED_VALUE"""),"Thực hiện đồ án tốt nghiệp")</f>
        <v>Thực hiện đồ án tốt nghiệp</v>
      </c>
      <c r="H6" s="9" t="str">
        <f>IFERROR(__xludf.DUMMYFUNCTION("""COMPUTED_VALUE"""),"Phan Mạnh Thường")</f>
        <v>Phan Mạnh Thường</v>
      </c>
      <c r="I6" s="9"/>
      <c r="J6" s="9" t="str">
        <f>IFERROR(__xludf.DUMMYFUNCTION("""COMPUTED_VALUE"""),"HỆ THỐNG QUẢN LÝ NHÂN SỰ TRƯỜNG HỌC")</f>
        <v>HỆ THỐNG QUẢN LÝ NHÂN SỰ TRƯỜNG HỌC</v>
      </c>
      <c r="K6" s="9" t="str">
        <f>IFERROR(__xludf.DUMMYFUNCTION("""COMPUTED_VALUE"""),"Quản lý tập trung thông tin nhân sự, thời gian làm việc, nghỉ phép, phân công công việc một cách nhanh chóng, hiệu quả, rõ ràng và dễ quản lý.")</f>
        <v>Quản lý tập trung thông tin nhân sự, thời gian làm việc, nghỉ phép, phân công công việc một cách nhanh chóng, hiệu quả, rõ ràng và dễ quản lý.</v>
      </c>
      <c r="L6" s="9" t="str">
        <f>IFERROR(__xludf.DUMMYFUNCTION("""COMPUTED_VALUE"""),"PHP")</f>
        <v>PHP</v>
      </c>
      <c r="M6" s="9"/>
      <c r="N6" s="9"/>
      <c r="O6" s="9"/>
      <c r="P6" s="9"/>
      <c r="Q6" s="9" t="str">
        <f>IFERROR(__xludf.DUMMYFUNCTION("""COMPUTED_VALUE"""),"TNDHLTK24_20251001")</f>
        <v>TNDHLTK24_20251001</v>
      </c>
    </row>
    <row r="7" ht="20.25" customHeight="1">
      <c r="A7" s="10">
        <f>IFERROR(__xludf.DUMMYFUNCTION("""COMPUTED_VALUE"""),45823.36342793981)</f>
        <v>45823.36343</v>
      </c>
      <c r="B7" s="9" t="str">
        <f>IFERROR(__xludf.DUMMYFUNCTION("""COMPUTED_VALUE"""),"vinhle11196@gmail.com")</f>
        <v>vinhle11196@gmail.com</v>
      </c>
      <c r="C7" s="9">
        <f>IFERROR(__xludf.DUMMYFUNCTION("""COMPUTED_VALUE"""),5.24000445E8)</f>
        <v>524000445</v>
      </c>
      <c r="D7" s="9" t="str">
        <f>IFERROR(__xludf.DUMMYFUNCTION("""COMPUTED_VALUE"""),"Lê Xuân Vinh")</f>
        <v>Lê Xuân Vinh</v>
      </c>
      <c r="E7" s="9" t="str">
        <f>IFERROR(__xludf.DUMMYFUNCTION("""COMPUTED_VALUE"""),"0879466660")</f>
        <v>0879466660</v>
      </c>
      <c r="F7" s="9" t="str">
        <f>IFERROR(__xludf.DUMMYFUNCTION("""COMPUTED_VALUE"""),"24CT502")</f>
        <v>24CT502</v>
      </c>
      <c r="G7" s="9" t="str">
        <f>IFERROR(__xludf.DUMMYFUNCTION("""COMPUTED_VALUE"""),"Thực hiện đồ án tốt nghiệp")</f>
        <v>Thực hiện đồ án tốt nghiệp</v>
      </c>
      <c r="H7" s="9" t="str">
        <f>IFERROR(__xludf.DUMMYFUNCTION("""COMPUTED_VALUE"""),"Hồ Ngọc Hoàng Long")</f>
        <v>Hồ Ngọc Hoàng Long</v>
      </c>
      <c r="I7" s="9" t="str">
        <f>IFERROR(__xludf.DUMMYFUNCTION("""COMPUTED_VALUE"""),"Hồ Ngọc Hoàng Long")</f>
        <v>Hồ Ngọc Hoàng Long</v>
      </c>
      <c r="J7" s="9" t="str">
        <f>IFERROR(__xludf.DUMMYFUNCTION("""COMPUTED_VALUE"""),"Thống kê điện năng tiêu thụ")</f>
        <v>Thống kê điện năng tiêu thụ</v>
      </c>
      <c r="K7" s="9" t="str">
        <f>IFERROR(__xludf.DUMMYFUNCTION("""COMPUTED_VALUE"""),"Phần mềm thống kê điện năng tiêu thụ")</f>
        <v>Phần mềm thống kê điện năng tiêu thụ</v>
      </c>
      <c r="L7" s="9" t="str">
        <f>IFERROR(__xludf.DUMMYFUNCTION("""COMPUTED_VALUE"""),"Giao diện, Cơ sở dữ liệu và chương trình thu thập dữ liệu từ thiết bị theo dõi")</f>
        <v>Giao diện, Cơ sở dữ liệu và chương trình thu thập dữ liệu từ thiết bị theo dõi</v>
      </c>
      <c r="M7" s="9"/>
      <c r="N7" s="9"/>
      <c r="O7" s="9"/>
      <c r="P7" s="9"/>
      <c r="Q7" s="9" t="str">
        <f>IFERROR(__xludf.DUMMYFUNCTION("""COMPUTED_VALUE"""),"TNDHLTK24_20251001")</f>
        <v>TNDHLTK24_20251001</v>
      </c>
    </row>
    <row r="8" ht="20.25" customHeight="1">
      <c r="A8" s="10">
        <f>IFERROR(__xludf.DUMMYFUNCTION("""COMPUTED_VALUE"""),45823.6617124537)</f>
        <v>45823.66171</v>
      </c>
      <c r="B8" s="9" t="str">
        <f>IFERROR(__xludf.DUMMYFUNCTION("""COMPUTED_VALUE"""),"hungvy1792@gmail.com")</f>
        <v>hungvy1792@gmail.com</v>
      </c>
      <c r="C8" s="9">
        <f>IFERROR(__xludf.DUMMYFUNCTION("""COMPUTED_VALUE"""),5.24000162E8)</f>
        <v>524000162</v>
      </c>
      <c r="D8" s="9" t="str">
        <f>IFERROR(__xludf.DUMMYFUNCTION("""COMPUTED_VALUE"""),"Nguyễn Hùng Vỹ")</f>
        <v>Nguyễn Hùng Vỹ</v>
      </c>
      <c r="E8" s="9" t="str">
        <f>IFERROR(__xludf.DUMMYFUNCTION("""COMPUTED_VALUE"""),"0522543057")</f>
        <v>0522543057</v>
      </c>
      <c r="F8" s="9" t="str">
        <f>IFERROR(__xludf.DUMMYFUNCTION("""COMPUTED_VALUE"""),"24CT501")</f>
        <v>24CT501</v>
      </c>
      <c r="G8" s="9" t="str">
        <f>IFERROR(__xludf.DUMMYFUNCTION("""COMPUTED_VALUE"""),"Thực hiện đồ án tốt nghiệp")</f>
        <v>Thực hiện đồ án tốt nghiệp</v>
      </c>
      <c r="H8" s="9" t="str">
        <f>IFERROR(__xludf.DUMMYFUNCTION("""COMPUTED_VALUE"""),"Hồ Ngọc Hoàng Long")</f>
        <v>Hồ Ngọc Hoàng Long</v>
      </c>
      <c r="I8" s="9" t="str">
        <f>IFERROR(__xludf.DUMMYFUNCTION("""COMPUTED_VALUE"""),"Hồ Ngọc Hoàng Long")</f>
        <v>Hồ Ngọc Hoàng Long</v>
      </c>
      <c r="J8" s="9" t="str">
        <f>IFERROR(__xludf.DUMMYFUNCTION("""COMPUTED_VALUE"""),"Website sàn thương mại điện tử nông sản sạch")</f>
        <v>Website sàn thương mại điện tử nông sản sạch</v>
      </c>
      <c r="K8" s="9" t="str">
        <f>IFERROR(__xludf.DUMMYFUNCTION("""COMPUTED_VALUE"""),"Kết nối trực tiếp nông dân với người tiêu dùng:
Giảm trung gian, tăng thu nhập cho nông dân.
Đảm bảo nguồn hàng rõ nguồn gốc, chất lượng.
Cung cấp thực phẩm sạch, an toàn và minh bạch:
Ưu tiên nông sản đạt chứng nhận VietGAP, hữu cơ.
Cập nhật thông t"&amp;"in sản phẩm minh bạch (nguồn gốc, quy trình canh tác...).
Xây dựng hệ sinh thái nông nghiệp số:
Ứng dụng công nghệ để số hóa hoạt động thương mại nông sản.
Hỗ trợ truy xuất nguồn gốc, thanh toán online, vận chuyển tối ưu.
Tạo niềm tin và thói quen tiê"&amp;"u dùng nông sản sạch:
Nâng cao nhận thức người tiêu dùng về thực phẩm sạch.
Định hướng tiêu dùng bền vững và vì sức khỏe cộng đồng.
Hỗ trợ phát triển nông nghiệp bền vững:
Khuyến khích mô hình canh tác sạch – xanh – bền vững.
Tạo sân chơi thương mại "&amp;"lành mạnh, cạnh tranh công bằng cho các nhà cung cấp nông sản.			")</f>
        <v>Kết nối trực tiếp nông dân với người tiêu dùng:
Giảm trung gian, tăng thu nhập cho nông dân.
Đảm bảo nguồn hàng rõ nguồn gốc, chất lượng.
Cung cấp thực phẩm sạch, an toàn và minh bạch:
Ưu tiên nông sản đạt chứng nhận VietGAP, hữu cơ.
Cập nhật thông tin sản phẩm minh bạch (nguồn gốc, quy trình canh tác...).
Xây dựng hệ sinh thái nông nghiệp số:
Ứng dụng công nghệ để số hóa hoạt động thương mại nông sản.
Hỗ trợ truy xuất nguồn gốc, thanh toán online, vận chuyển tối ưu.
Tạo niềm tin và thói quen tiêu dùng nông sản sạch:
Nâng cao nhận thức người tiêu dùng về thực phẩm sạch.
Định hướng tiêu dùng bền vững và vì sức khỏe cộng đồng.
Hỗ trợ phát triển nông nghiệp bền vững:
Khuyến khích mô hình canh tác sạch – xanh – bền vững.
Tạo sân chơi thương mại lành mạnh, cạnh tranh công bằng cho các nhà cung cấp nông sản.			</v>
      </c>
      <c r="L8" s="9" t="str">
        <f>IFERROR(__xludf.DUMMYFUNCTION("""COMPUTED_VALUE"""),"Website cung cấp các chức năng chính như: hiển thị sản phẩm nông sản theo danh mục, tìm kiếm – lọc thông minh, giỏ hàng và đặt hàng trực tuyến, quản lý đơn hàng, thanh toán trực tuyến, thông tin nhà cung cấp, minh chứng sản phẩm chất lượng, quản lý thông "&amp;"tin cá nhân :  đơn hàng, tài khoản, thanh toán,thông báo, chức năng mở cửa hàng để buôn bán sản phẩm, chức năng admin																							")</f>
        <v>Website cung cấp các chức năng chính như: hiển thị sản phẩm nông sản theo danh mục, tìm kiếm – lọc thông minh, giỏ hàng và đặt hàng trực tuyến, quản lý đơn hàng, thanh toán trực tuyến, thông tin nhà cung cấp, minh chứng sản phẩm chất lượng, quản lý thông tin cá nhân :  đơn hàng, tài khoản, thanh toán,thông báo, chức năng mở cửa hàng để buôn bán sản phẩm, chức năng admin																							</v>
      </c>
      <c r="M8" s="9"/>
      <c r="N8" s="9"/>
      <c r="O8" s="9"/>
      <c r="P8" s="9"/>
      <c r="Q8" s="9" t="str">
        <f>IFERROR(__xludf.DUMMYFUNCTION("""COMPUTED_VALUE"""),"TNDHLTK24_20251001")</f>
        <v>TNDHLTK24_20251001</v>
      </c>
    </row>
    <row r="9" ht="20.25" customHeight="1">
      <c r="A9" s="10">
        <f>IFERROR(__xludf.DUMMYFUNCTION("""COMPUTED_VALUE"""),45824.60777797454)</f>
        <v>45824.60778</v>
      </c>
      <c r="B9" s="9" t="str">
        <f>IFERROR(__xludf.DUMMYFUNCTION("""COMPUTED_VALUE"""),"thutram10893@gmail.com")</f>
        <v>thutram10893@gmail.com</v>
      </c>
      <c r="C9" s="9">
        <f>IFERROR(__xludf.DUMMYFUNCTION("""COMPUTED_VALUE"""),7.24000015E8)</f>
        <v>724000015</v>
      </c>
      <c r="D9" s="9" t="str">
        <f>IFERROR(__xludf.DUMMYFUNCTION("""COMPUTED_VALUE"""),"Lê Thị Thu Trâm")</f>
        <v>Lê Thị Thu Trâm</v>
      </c>
      <c r="E9" s="9" t="str">
        <f>IFERROR(__xludf.DUMMYFUNCTION("""COMPUTED_VALUE"""),"0349855817")</f>
        <v>0349855817</v>
      </c>
      <c r="F9" s="9" t="str">
        <f>IFERROR(__xludf.DUMMYFUNCTION("""COMPUTED_VALUE"""),"24CT702")</f>
        <v>24CT702</v>
      </c>
      <c r="G9" s="9" t="str">
        <f>IFERROR(__xludf.DUMMYFUNCTION("""COMPUTED_VALUE"""),"Thực hiện đồ án tốt nghiệp")</f>
        <v>Thực hiện đồ án tốt nghiệp</v>
      </c>
      <c r="H9" s="9" t="str">
        <f>IFERROR(__xludf.DUMMYFUNCTION("""COMPUTED_VALUE"""),"Phan Mạnh Thường")</f>
        <v>Phan Mạnh Thường</v>
      </c>
      <c r="I9" s="9" t="str">
        <f>IFERROR(__xludf.DUMMYFUNCTION("""COMPUTED_VALUE"""),"Nguyễn Minh Phúc")</f>
        <v>Nguyễn Minh Phúc</v>
      </c>
      <c r="J9" s="9" t="str">
        <f>IFERROR(__xludf.DUMMYFUNCTION("""COMPUTED_VALUE"""),"Xây dựng web về trường học")</f>
        <v>Xây dựng web về trường học</v>
      </c>
      <c r="K9" s="9" t="str">
        <f>IFERROR(__xludf.DUMMYFUNCTION("""COMPUTED_VALUE"""),"Cho người dùng có thể thêm các thông tin của trường ")</f>
        <v>Cho người dùng có thể thêm các thông tin của trường </v>
      </c>
      <c r="L9" s="9" t="str">
        <f>IFERROR(__xludf.DUMMYFUNCTION("""COMPUTED_VALUE"""),"Sử dụng các ngôn ngữ đã được học")</f>
        <v>Sử dụng các ngôn ngữ đã được học</v>
      </c>
      <c r="M9" s="9"/>
      <c r="N9" s="9"/>
      <c r="O9" s="9"/>
      <c r="P9" s="9"/>
      <c r="Q9" s="9" t="str">
        <f>IFERROR(__xludf.DUMMYFUNCTION("""COMPUTED_VALUE"""),"TNDHLTK24_20251001")</f>
        <v>TNDHLTK24_20251001</v>
      </c>
    </row>
    <row r="10" ht="20.25" customHeight="1">
      <c r="A10" s="10">
        <f>IFERROR(__xludf.DUMMYFUNCTION("""COMPUTED_VALUE"""),45824.7328519213)</f>
        <v>45824.73285</v>
      </c>
      <c r="B10" s="9" t="str">
        <f>IFERROR(__xludf.DUMMYFUNCTION("""COMPUTED_VALUE"""),"man1772003@gmail.com")</f>
        <v>man1772003@gmail.com</v>
      </c>
      <c r="C10" s="9">
        <f>IFERROR(__xludf.DUMMYFUNCTION("""COMPUTED_VALUE"""),5.24000312E8)</f>
        <v>524000312</v>
      </c>
      <c r="D10" s="9" t="str">
        <f>IFERROR(__xludf.DUMMYFUNCTION("""COMPUTED_VALUE"""),"Trần Ngọc Mẫn")</f>
        <v>Trần Ngọc Mẫn</v>
      </c>
      <c r="E10" s="9" t="str">
        <f>IFERROR(__xludf.DUMMYFUNCTION("""COMPUTED_VALUE"""),"0814528145")</f>
        <v>0814528145</v>
      </c>
      <c r="F10" s="9" t="str">
        <f>IFERROR(__xludf.DUMMYFUNCTION("""COMPUTED_VALUE"""),"24CT502")</f>
        <v>24CT502</v>
      </c>
      <c r="G10" s="9" t="str">
        <f>IFERROR(__xludf.DUMMYFUNCTION("""COMPUTED_VALUE"""),"Thực hiện đồ án tốt nghiệp")</f>
        <v>Thực hiện đồ án tốt nghiệp</v>
      </c>
      <c r="H10" s="9" t="str">
        <f>IFERROR(__xludf.DUMMYFUNCTION("""COMPUTED_VALUE"""),"Lê Chân Thiện Tâm")</f>
        <v>Lê Chân Thiện Tâm</v>
      </c>
      <c r="I10" s="9"/>
      <c r="J10" s="9" t="str">
        <f>IFERROR(__xludf.DUMMYFUNCTION("""COMPUTED_VALUE"""),"Website giao dịch nhà ở, căn hộ")</f>
        <v>Website giao dịch nhà ở, căn hộ</v>
      </c>
      <c r="K10" s="9" t="str">
        <f>IFERROR(__xludf.DUMMYFUNCTION("""COMPUTED_VALUE"""),"Cho phép người dùng có nhu cầu cho thuê, mua bán nhà ở, căn hộ xem các thông tin về nhà ở, căn hộ được đăng trên website, thông tin liên hệ,... Giúp tiết kiệm thời gian công sức để tìm được nhà ở phù hợp với nhu cầu hoặc đăng bán")</f>
        <v>Cho phép người dùng có nhu cầu cho thuê, mua bán nhà ở, căn hộ xem các thông tin về nhà ở, căn hộ được đăng trên website, thông tin liên hệ,... Giúp tiết kiệm thời gian công sức để tìm được nhà ở phù hợp với nhu cầu hoặc đăng bán</v>
      </c>
      <c r="L10" s="9" t="str">
        <f>IFERROR(__xludf.DUMMYFUNCTION("""COMPUTED_VALUE"""),"Gồm trang đăng bán, hiển thị các nhà ở căn hộ, cho phép đăng bán và cho thuê,...")</f>
        <v>Gồm trang đăng bán, hiển thị các nhà ở căn hộ, cho phép đăng bán và cho thuê,...</v>
      </c>
      <c r="M10" s="9"/>
      <c r="N10" s="9"/>
      <c r="O10" s="9"/>
      <c r="P10" s="9"/>
      <c r="Q10" s="9" t="str">
        <f>IFERROR(__xludf.DUMMYFUNCTION("""COMPUTED_VALUE"""),"TNDHLTK24_20251001")</f>
        <v>TNDHLTK24_20251001</v>
      </c>
    </row>
    <row r="11" ht="20.25" customHeight="1">
      <c r="A11" s="10">
        <f>IFERROR(__xludf.DUMMYFUNCTION("""COMPUTED_VALUE"""),45824.81403146991)</f>
        <v>45824.81403</v>
      </c>
      <c r="B11" s="9" t="str">
        <f>IFERROR(__xludf.DUMMYFUNCTION("""COMPUTED_VALUE"""),"bienhoahong2891@gmail.com")</f>
        <v>bienhoahong2891@gmail.com</v>
      </c>
      <c r="C11" s="9">
        <f>IFERROR(__xludf.DUMMYFUNCTION("""COMPUTED_VALUE"""),7.24000022E8)</f>
        <v>724000022</v>
      </c>
      <c r="D11" s="9" t="str">
        <f>IFERROR(__xludf.DUMMYFUNCTION("""COMPUTED_VALUE"""),"Nguyễn Thị Nhung")</f>
        <v>Nguyễn Thị Nhung</v>
      </c>
      <c r="E11" s="9" t="str">
        <f>IFERROR(__xludf.DUMMYFUNCTION("""COMPUTED_VALUE"""),"0375689786")</f>
        <v>0375689786</v>
      </c>
      <c r="F11" s="9" t="str">
        <f>IFERROR(__xludf.DUMMYFUNCTION("""COMPUTED_VALUE"""),"24CT702")</f>
        <v>24CT702</v>
      </c>
      <c r="G11" s="9" t="str">
        <f>IFERROR(__xludf.DUMMYFUNCTION("""COMPUTED_VALUE"""),"Thực hiện đồ án tốt nghiệp")</f>
        <v>Thực hiện đồ án tốt nghiệp</v>
      </c>
      <c r="H11" s="9" t="str">
        <f>IFERROR(__xludf.DUMMYFUNCTION("""COMPUTED_VALUE"""),"Hồ Ngọc Hoàng Long")</f>
        <v>Hồ Ngọc Hoàng Long</v>
      </c>
      <c r="I11" s="9" t="str">
        <f>IFERROR(__xludf.DUMMYFUNCTION("""COMPUTED_VALUE"""),"Hồ Ngọc Hoàng Long")</f>
        <v>Hồ Ngọc Hoàng Long</v>
      </c>
      <c r="J11" s="9" t="str">
        <f>IFERROR(__xludf.DUMMYFUNCTION("""COMPUTED_VALUE"""),"Quản lý sổ liên lạc điện tử")</f>
        <v>Quản lý sổ liên lạc điện tử</v>
      </c>
      <c r="K11" s="9" t="str">
        <f>IFERROR(__xludf.DUMMYFUNCTION("""COMPUTED_VALUE"""),"Xử lý nghiệp vụ và logic hệ thống
Quản lý các chức năng như: điểm số, nhận xét, lớp học, người dùng (giáo viên, phụ huynh, học sinh).
Thực hiện các chức năng thêm/sửa/xóa dữ liệu một cách bảo mật và chính xác.
Cung cấp API cho front-end
Xây dựng các R"&amp;"estful API phục vụ việc lấy, cập nhật, thêm mới thông tin từ frontend gửi lên.
Đảm bảo an toàn và phân quyền truy cập")</f>
        <v>Xử lý nghiệp vụ và logic hệ thống
Quản lý các chức năng như: điểm số, nhận xét, lớp học, người dùng (giáo viên, phụ huynh, học sinh).
Thực hiện các chức năng thêm/sửa/xóa dữ liệu một cách bảo mật và chính xác.
Cung cấp API cho front-end
Xây dựng các Restful API phục vụ việc lấy, cập nhật, thêm mới thông tin từ frontend gửi lên.
Đảm bảo an toàn và phân quyền truy cập</v>
      </c>
      <c r="L11" s="9" t="str">
        <f>IFERROR(__xludf.DUMMYFUNCTION("""COMPUTED_VALUE"""),"Xác thực người dùng qua token (JWT) hoặc session.
Phân quyền: giáo viên chỉ thấy học sinh lớp mình; phụ huynh chỉ thấy con mình.
Lưu trữ và truy xuất dữ liệu hiệu quả
Thiết kế và tối ưu cơ sở dữ liệu (SQL hoặc NoSQL) để truy xuất nhanh và chính xác.
L"&amp;"ưu trữ lịch sử thay đổi (nếu cần), hỗ trợ sao lưu – khôi phục dữ liệu.
Xử lý thông báo
Gửi email/thông báo đến phụ huynh khi có cập nhật mới từ giáo viên.")</f>
        <v>Xác thực người dùng qua token (JWT) hoặc session.
Phân quyền: giáo viên chỉ thấy học sinh lớp mình; phụ huynh chỉ thấy con mình.
Lưu trữ và truy xuất dữ liệu hiệu quả
Thiết kế và tối ưu cơ sở dữ liệu (SQL hoặc NoSQL) để truy xuất nhanh và chính xác.
Lưu trữ lịch sử thay đổi (nếu cần), hỗ trợ sao lưu – khôi phục dữ liệu.
Xử lý thông báo
Gửi email/thông báo đến phụ huynh khi có cập nhật mới từ giáo viên.</v>
      </c>
      <c r="M11" s="9"/>
      <c r="N11" s="9"/>
      <c r="O11" s="9"/>
      <c r="P11" s="9"/>
      <c r="Q11" s="9" t="str">
        <f>IFERROR(__xludf.DUMMYFUNCTION("""COMPUTED_VALUE"""),"TNDHLTK24_20251001")</f>
        <v>TNDHLTK24_20251001</v>
      </c>
    </row>
    <row r="12" ht="20.25" customHeight="1">
      <c r="A12" s="10">
        <f>IFERROR(__xludf.DUMMYFUNCTION("""COMPUTED_VALUE"""),45824.837321643514)</f>
        <v>45824.83732</v>
      </c>
      <c r="B12" s="9" t="str">
        <f>IFERROR(__xludf.DUMMYFUNCTION("""COMPUTED_VALUE"""),"dongthimyven1989@gmail.com")</f>
        <v>dongthimyven1989@gmail.com</v>
      </c>
      <c r="C12" s="9">
        <f>IFERROR(__xludf.DUMMYFUNCTION("""COMPUTED_VALUE"""),7.24000029E8)</f>
        <v>724000029</v>
      </c>
      <c r="D12" s="9" t="str">
        <f>IFERROR(__xludf.DUMMYFUNCTION("""COMPUTED_VALUE"""),"Đồng Thị Mỹ Vẹn")</f>
        <v>Đồng Thị Mỹ Vẹn</v>
      </c>
      <c r="E12" s="9" t="str">
        <f>IFERROR(__xludf.DUMMYFUNCTION("""COMPUTED_VALUE"""),"0349853869")</f>
        <v>0349853869</v>
      </c>
      <c r="F12" s="9" t="str">
        <f>IFERROR(__xludf.DUMMYFUNCTION("""COMPUTED_VALUE"""),"24CT702")</f>
        <v>24CT702</v>
      </c>
      <c r="G12" s="9" t="str">
        <f>IFERROR(__xludf.DUMMYFUNCTION("""COMPUTED_VALUE"""),"Thực hiện đồ án tốt nghiệp")</f>
        <v>Thực hiện đồ án tốt nghiệp</v>
      </c>
      <c r="H12" s="9" t="str">
        <f>IFERROR(__xludf.DUMMYFUNCTION("""COMPUTED_VALUE"""),"Hồ Ngọc Hoàng Long")</f>
        <v>Hồ Ngọc Hoàng Long</v>
      </c>
      <c r="I12" s="9" t="str">
        <f>IFERROR(__xludf.DUMMYFUNCTION("""COMPUTED_VALUE"""),"Hồ Ngọc Hoàng Long")</f>
        <v>Hồ Ngọc Hoàng Long</v>
      </c>
      <c r="J12" s="9" t="str">
        <f>IFERROR(__xludf.DUMMYFUNCTION("""COMPUTED_VALUE"""),"Quản lý sổ liên lạc điện tử")</f>
        <v>Quản lý sổ liên lạc điện tử</v>
      </c>
      <c r="K12" s="9" t="str">
        <f>IFERROR(__xludf.DUMMYFUNCTION("""COMPUTED_VALUE"""),"Xây dựng giao diện người dùng thân thiện, dễ sử dụng
Đảm bảo người dùng như phụ huynh, giáo viên, học sinh có thể thao tác dễ dàng trên nền tảng.
Hiển thị rõ ràng các chức năng: xem điểm, nhận xét, thông báo, phản hồi,...
Hiển thị dữ liệu động từ hệ th"&amp;"ống backend
Gọi API để lấy danh sách học sinh, điểm số, nhận xét, thông báo,...
Đáp ứng nhiều thiết bị")</f>
        <v>Xây dựng giao diện người dùng thân thiện, dễ sử dụng
Đảm bảo người dùng như phụ huynh, giáo viên, học sinh có thể thao tác dễ dàng trên nền tảng.
Hiển thị rõ ràng các chức năng: xem điểm, nhận xét, thông báo, phản hồi,...
Hiển thị dữ liệu động từ hệ thống backend
Gọi API để lấy danh sách học sinh, điểm số, nhận xét, thông báo,...
Đáp ứng nhiều thiết bị</v>
      </c>
      <c r="L12" s="9" t="str">
        <f>IFERROR(__xludf.DUMMYFUNCTION("""COMPUTED_VALUE"""),"Thiết kế responsive để hoạt động tốt trên cả máy tính, tablet và điện thoại.
Cung cấp trải nghiệm tương tác tốt
Hỗ trợ người dùng nhập liệu, chọn lớp học, tìm kiếm học sinh, gửi phản hồi,...
Tạo hiệu ứng hiển thị như loading, toast thông báo, xác nhận "&amp;"gửi,... ")</f>
        <v>Thiết kế responsive để hoạt động tốt trên cả máy tính, tablet và điện thoại.
Cung cấp trải nghiệm tương tác tốt
Hỗ trợ người dùng nhập liệu, chọn lớp học, tìm kiếm học sinh, gửi phản hồi,...
Tạo hiệu ứng hiển thị như loading, toast thông báo, xác nhận gửi,... </v>
      </c>
      <c r="M12" s="9"/>
      <c r="N12" s="9"/>
      <c r="O12" s="9"/>
      <c r="P12" s="9"/>
      <c r="Q12" s="9" t="str">
        <f>IFERROR(__xludf.DUMMYFUNCTION("""COMPUTED_VALUE"""),"TNDHLTK24_20251001")</f>
        <v>TNDHLTK24_20251001</v>
      </c>
    </row>
    <row r="13" ht="20.25" customHeight="1">
      <c r="A13" s="10">
        <f>IFERROR(__xludf.DUMMYFUNCTION("""COMPUTED_VALUE"""),45824.8653697338)</f>
        <v>45824.86537</v>
      </c>
      <c r="B13" s="9" t="str">
        <f>IFERROR(__xludf.DUMMYFUNCTION("""COMPUTED_VALUE"""),"nhut123ok@gmail.com")</f>
        <v>nhut123ok@gmail.com</v>
      </c>
      <c r="C13" s="9">
        <f>IFERROR(__xludf.DUMMYFUNCTION("""COMPUTED_VALUE"""),5.24000189E8)</f>
        <v>524000189</v>
      </c>
      <c r="D13" s="9" t="str">
        <f>IFERROR(__xludf.DUMMYFUNCTION("""COMPUTED_VALUE"""),"Phan Nguyễn Nhựt")</f>
        <v>Phan Nguyễn Nhựt</v>
      </c>
      <c r="E13" s="9" t="str">
        <f>IFERROR(__xludf.DUMMYFUNCTION("""COMPUTED_VALUE"""),"0376679487")</f>
        <v>0376679487</v>
      </c>
      <c r="F13" s="9" t="str">
        <f>IFERROR(__xludf.DUMMYFUNCTION("""COMPUTED_VALUE"""),"24CT501")</f>
        <v>24CT501</v>
      </c>
      <c r="G13" s="9" t="str">
        <f>IFERROR(__xludf.DUMMYFUNCTION("""COMPUTED_VALUE"""),"Thực hiện đồ án tốt nghiệp")</f>
        <v>Thực hiện đồ án tốt nghiệp</v>
      </c>
      <c r="H13" s="9" t="str">
        <f>IFERROR(__xludf.DUMMYFUNCTION("""COMPUTED_VALUE"""),"Hồ Ngọc Hoàng Long")</f>
        <v>Hồ Ngọc Hoàng Long</v>
      </c>
      <c r="I13" s="9" t="str">
        <f>IFERROR(__xludf.DUMMYFUNCTION("""COMPUTED_VALUE"""),"Hồ Ngọc Hoàng Long")</f>
        <v>Hồ Ngọc Hoàng Long</v>
      </c>
      <c r="J13" s="9" t="str">
        <f>IFERROR(__xludf.DUMMYFUNCTION("""COMPUTED_VALUE"""),"Website cho mượn và quản lý sách tại thư viện")</f>
        <v>Website cho mượn và quản lý sách tại thư viện</v>
      </c>
      <c r="K13" s="9" t="str">
        <f>IFERROR(__xludf.DUMMYFUNCTION("""COMPUTED_VALUE"""),"Mục tiêu	
Số hóa quy trình mượn – trả sách truyền thống
Tự động hóa việc quản lý mượn, trả và theo dõi tình trạng sách để giảm thời gian và công sức cho thủ thư.
Tạo nền tảng tra cứu và mượn sách trực tuyến cho người dùng
Cho phép sinh viên, giáo viên "&amp;"dễ dàng tìm kiếm sách, xem thông tin chi tiết, và đăng ký mượn sách từ xa.
Nâng cao hiệu quả quản lý sách trong thư viện
Quản trị viên dễ dàng quản lý kho sách, phân loại, cập nhật tình trạng sách, kiểm tra lịch sử mượn – trả và thống kê nhanh chóng.
G"&amp;"iảm thiểu sai sót và thất thoát sách
Hệ thống ghi nhận tự động lịch sử mượn – trả, nhắc hạn trả sách và hỗ trợ kiểm tra tồn kho chính xác.")</f>
        <v>Mục tiêu	
Số hóa quy trình mượn – trả sách truyền thống
Tự động hóa việc quản lý mượn, trả và theo dõi tình trạng sách để giảm thời gian và công sức cho thủ thư.
Tạo nền tảng tra cứu và mượn sách trực tuyến cho người dùng
Cho phép sinh viên, giáo viên dễ dàng tìm kiếm sách, xem thông tin chi tiết, và đăng ký mượn sách từ xa.
Nâng cao hiệu quả quản lý sách trong thư viện
Quản trị viên dễ dàng quản lý kho sách, phân loại, cập nhật tình trạng sách, kiểm tra lịch sử mượn – trả và thống kê nhanh chóng.
Giảm thiểu sai sót và thất thoát sách
Hệ thống ghi nhận tự động lịch sử mượn – trả, nhắc hạn trả sách và hỗ trợ kiểm tra tồn kho chính xác.</v>
      </c>
      <c r="L13" s="9" t="str">
        <f>IFERROR(__xludf.DUMMYFUNCTION("""COMPUTED_VALUE"""),"Xây dựng website hệ thống cho mượn và quản lý sách tại thư viện nhằm hỗ trợ thư viện số hóa quá trình quản lý sách và hoạt động mượn – trả sách của người dùng một cách hiệu quả, nhanh chóng và chính xác.
Hệ thống cho phép người dùng (sinh viên, giáo viên"&amp;"...) tra cứu sách trực tuyến, đăng ký mượn sách, theo dõi lịch sử mượn – trả và nhận thông báo khi đến hạn trả sách. Quản trị viên có thể quản lý sách, danh mục, người dùng, và thống kê số liệu mượn")</f>
        <v>Xây dựng website hệ thống cho mượn và quản lý sách tại thư viện nhằm hỗ trợ thư viện số hóa quá trình quản lý sách và hoạt động mượn – trả sách của người dùng một cách hiệu quả, nhanh chóng và chính xác.
Hệ thống cho phép người dùng (sinh viên, giáo viên...) tra cứu sách trực tuyến, đăng ký mượn sách, theo dõi lịch sử mượn – trả và nhận thông báo khi đến hạn trả sách. Quản trị viên có thể quản lý sách, danh mục, người dùng, và thống kê số liệu mượn</v>
      </c>
      <c r="M13" s="9"/>
      <c r="N13" s="9"/>
      <c r="O13" s="9"/>
      <c r="P13" s="9"/>
      <c r="Q13" s="9" t="str">
        <f>IFERROR(__xludf.DUMMYFUNCTION("""COMPUTED_VALUE"""),"TNDHLTK24_20251001")</f>
        <v>TNDHLTK24_20251001</v>
      </c>
    </row>
    <row r="14" ht="20.25" customHeight="1">
      <c r="A14" s="10">
        <f>IFERROR(__xludf.DUMMYFUNCTION("""COMPUTED_VALUE"""),45824.875745578705)</f>
        <v>45824.87575</v>
      </c>
      <c r="B14" s="9" t="str">
        <f>IFERROR(__xludf.DUMMYFUNCTION("""COMPUTED_VALUE"""),"bacphan.info@gmail.com")</f>
        <v>bacphan.info@gmail.com</v>
      </c>
      <c r="C14" s="9">
        <f>IFERROR(__xludf.DUMMYFUNCTION("""COMPUTED_VALUE"""),5.24000166E8)</f>
        <v>524000166</v>
      </c>
      <c r="D14" s="9" t="str">
        <f>IFERROR(__xludf.DUMMYFUNCTION("""COMPUTED_VALUE"""),"Phan Ngọc Phương Bắc")</f>
        <v>Phan Ngọc Phương Bắc</v>
      </c>
      <c r="E14" s="9" t="str">
        <f>IFERROR(__xludf.DUMMYFUNCTION("""COMPUTED_VALUE"""),"0367110215")</f>
        <v>0367110215</v>
      </c>
      <c r="F14" s="9" t="str">
        <f>IFERROR(__xludf.DUMMYFUNCTION("""COMPUTED_VALUE"""),"24CT501")</f>
        <v>24CT501</v>
      </c>
      <c r="G14" s="9" t="str">
        <f>IFERROR(__xludf.DUMMYFUNCTION("""COMPUTED_VALUE"""),"Thực hiện đồ án tốt nghiệp")</f>
        <v>Thực hiện đồ án tốt nghiệp</v>
      </c>
      <c r="H14" s="9" t="str">
        <f>IFERROR(__xludf.DUMMYFUNCTION("""COMPUTED_VALUE"""),"Hoàng Hải Dương")</f>
        <v>Hoàng Hải Dương</v>
      </c>
      <c r="I14" s="9" t="str">
        <f>IFERROR(__xludf.DUMMYFUNCTION("""COMPUTED_VALUE"""),"Hoàng Hải Dương")</f>
        <v>Hoàng Hải Dương</v>
      </c>
      <c r="J14" s="9" t="str">
        <f>IFERROR(__xludf.DUMMYFUNCTION("""COMPUTED_VALUE"""),"WebLLM Booking")</f>
        <v>WebLLM Booking</v>
      </c>
      <c r="K14" s="9" t="str">
        <f>IFERROR(__xludf.DUMMYFUNCTION("""COMPUTED_VALUE"""),"Xây dựng hệ thống quản lý booking khách sạn tiêu chuẩn với đầy đủ chức năng, kết họp với Agent AI và MCP tạo ra WebLLM có thể trả lời yêu cầu của khách hàng và tự động đặt phòng, kết hợp với thanh toán SePay và tự Check-in bằng QrCode")</f>
        <v>Xây dựng hệ thống quản lý booking khách sạn tiêu chuẩn với đầy đủ chức năng, kết họp với Agent AI và MCP tạo ra WebLLM có thể trả lời yêu cầu của khách hàng và tự động đặt phòng, kết hợp với thanh toán SePay và tự Check-in bằng QrCode</v>
      </c>
      <c r="L14" s="9" t="str">
        <f>IFERROR(__xludf.DUMMYFUNCTION("""COMPUTED_VALUE"""),"1. Tạo hệ thống quản lý nhân sự, tài sản, thông tin doanh nghiệp
2. Tạo hệ thống quản lý booking trực quan trên dạng lịch
3. Tạo hệ thống thống kê và biểu đồ cơ bản để thống kê dữ liệu
4. Tạo Agent AI kết hợp MCP trên nền tảng N8N (sefl host)
5. Xây dựng "&amp;"WebLLM thực hiện các yêu cầu của khách hàng.
6. Xây hệ thống thanh toán thông qua SePay và API webhook
7. Hệ thống check-in đơn giản khi khách nhận phòng bằng QrCode")</f>
        <v>1. Tạo hệ thống quản lý nhân sự, tài sản, thông tin doanh nghiệp
2. Tạo hệ thống quản lý booking trực quan trên dạng lịch
3. Tạo hệ thống thống kê và biểu đồ cơ bản để thống kê dữ liệu
4. Tạo Agent AI kết hợp MCP trên nền tảng N8N (sefl host)
5. Xây dựng WebLLM thực hiện các yêu cầu của khách hàng.
6. Xây hệ thống thanh toán thông qua SePay và API webhook
7. Hệ thống check-in đơn giản khi khách nhận phòng bằng QrCode</v>
      </c>
      <c r="M14" s="9"/>
      <c r="N14" s="9"/>
      <c r="O14" s="9"/>
      <c r="P14" s="9"/>
      <c r="Q14" s="9" t="str">
        <f>IFERROR(__xludf.DUMMYFUNCTION("""COMPUTED_VALUE"""),"TNDHLTK24_20251001")</f>
        <v>TNDHLTK24_20251001</v>
      </c>
    </row>
    <row r="15" ht="20.25" customHeight="1">
      <c r="A15" s="10">
        <f>IFERROR(__xludf.DUMMYFUNCTION("""COMPUTED_VALUE"""),45824.91698758102)</f>
        <v>45824.91699</v>
      </c>
      <c r="B15" s="9" t="str">
        <f>IFERROR(__xludf.DUMMYFUNCTION("""COMPUTED_VALUE"""),"nvhuyvu@gmail.com")</f>
        <v>nvhuyvu@gmail.com</v>
      </c>
      <c r="C15" s="9">
        <f>IFERROR(__xludf.DUMMYFUNCTION("""COMPUTED_VALUE"""),7.24000014E8)</f>
        <v>724000014</v>
      </c>
      <c r="D15" s="9" t="str">
        <f>IFERROR(__xludf.DUMMYFUNCTION("""COMPUTED_VALUE"""),"Nguyễn Văn Huy Vũ")</f>
        <v>Nguyễn Văn Huy Vũ</v>
      </c>
      <c r="E15" s="9" t="str">
        <f>IFERROR(__xludf.DUMMYFUNCTION("""COMPUTED_VALUE"""),"0978816972")</f>
        <v>0978816972</v>
      </c>
      <c r="F15" s="9" t="str">
        <f>IFERROR(__xludf.DUMMYFUNCTION("""COMPUTED_VALUE"""),"24CT702")</f>
        <v>24CT702</v>
      </c>
      <c r="G15" s="9" t="str">
        <f>IFERROR(__xludf.DUMMYFUNCTION("""COMPUTED_VALUE"""),"Thực hiện đồ án tốt nghiệp")</f>
        <v>Thực hiện đồ án tốt nghiệp</v>
      </c>
      <c r="H15" s="9" t="str">
        <f>IFERROR(__xludf.DUMMYFUNCTION("""COMPUTED_VALUE"""),"Hồ Ngọc Hoàng long")</f>
        <v>Hồ Ngọc Hoàng long</v>
      </c>
      <c r="I15" s="9" t="str">
        <f>IFERROR(__xludf.DUMMYFUNCTION("""COMPUTED_VALUE"""),"Hồ Ngọc Hoàng long")</f>
        <v>Hồ Ngọc Hoàng long</v>
      </c>
      <c r="J15" s="9" t="str">
        <f>IFERROR(__xludf.DUMMYFUNCTION("""COMPUTED_VALUE"""),"Xây dựng website cho công ty")</f>
        <v>Xây dựng website cho công ty</v>
      </c>
      <c r="K15" s="9" t="str">
        <f>IFERROR(__xludf.DUMMYFUNCTION("""COMPUTED_VALUE"""),"Xây dựng 1 website quảng bá thương hiệu, giới thiệu sản phẩm của công ty")</f>
        <v>Xây dựng 1 website quảng bá thương hiệu, giới thiệu sản phẩm của công ty</v>
      </c>
      <c r="L15" s="9" t="str">
        <f>IFERROR(__xludf.DUMMYFUNCTION("""COMPUTED_VALUE"""),"Thiết kế web")</f>
        <v>Thiết kế web</v>
      </c>
      <c r="M15" s="9"/>
      <c r="N15" s="9"/>
      <c r="O15" s="9"/>
      <c r="P15" s="9"/>
      <c r="Q15" s="9" t="str">
        <f>IFERROR(__xludf.DUMMYFUNCTION("""COMPUTED_VALUE"""),"TNDHLTK24_20251001")</f>
        <v>TNDHLTK24_20251001</v>
      </c>
    </row>
    <row r="16" ht="20.25" customHeight="1">
      <c r="A16" s="10">
        <f>IFERROR(__xludf.DUMMYFUNCTION("""COMPUTED_VALUE"""),45825.57254916667)</f>
        <v>45825.57255</v>
      </c>
      <c r="B16" s="9" t="str">
        <f>IFERROR(__xludf.DUMMYFUNCTION("""COMPUTED_VALUE"""),"xuantu041085@gmail.com")</f>
        <v>xuantu041085@gmail.com</v>
      </c>
      <c r="C16" s="9">
        <f>IFERROR(__xludf.DUMMYFUNCTION("""COMPUTED_VALUE"""),7.24000025E8)</f>
        <v>724000025</v>
      </c>
      <c r="D16" s="9" t="str">
        <f>IFERROR(__xludf.DUMMYFUNCTION("""COMPUTED_VALUE"""),"Trần Lê Xuân Tứ")</f>
        <v>Trần Lê Xuân Tứ</v>
      </c>
      <c r="E16" s="9" t="str">
        <f>IFERROR(__xludf.DUMMYFUNCTION("""COMPUTED_VALUE"""),"0919041085")</f>
        <v>0919041085</v>
      </c>
      <c r="F16" s="9" t="str">
        <f>IFERROR(__xludf.DUMMYFUNCTION("""COMPUTED_VALUE"""),"24CT702")</f>
        <v>24CT702</v>
      </c>
      <c r="G16" s="9" t="str">
        <f>IFERROR(__xludf.DUMMYFUNCTION("""COMPUTED_VALUE"""),"Thực hiện đồ án tốt nghiệp")</f>
        <v>Thực hiện đồ án tốt nghiệp</v>
      </c>
      <c r="H16" s="9" t="str">
        <f>IFERROR(__xludf.DUMMYFUNCTION("""COMPUTED_VALUE"""),"Hồ Ngọc Hoàng Long")</f>
        <v>Hồ Ngọc Hoàng Long</v>
      </c>
      <c r="I16" s="9" t="str">
        <f>IFERROR(__xludf.DUMMYFUNCTION("""COMPUTED_VALUE"""),"Hồ Ngọc Hoàng Long")</f>
        <v>Hồ Ngọc Hoàng Long</v>
      </c>
      <c r="J16" s="9" t="str">
        <f>IFERROR(__xludf.DUMMYFUNCTION("""COMPUTED_VALUE"""),"Xây dựng website luyện tập toán cho hs lớp 5 với hình thức trắc nghiệm")</f>
        <v>Xây dựng website luyện tập toán cho hs lớp 5 với hình thức trắc nghiệm</v>
      </c>
      <c r="K16" s="9" t="str">
        <f>IFERROR(__xludf.DUMMYFUNCTION("""COMPUTED_VALUE"""),"Xây dựng một website đơn giản, dễ sử dụng cho học sinh lớp 5 để luyện tập các bài tập toán theo chương trình mới.")</f>
        <v>Xây dựng một website đơn giản, dễ sử dụng cho học sinh lớp 5 để luyện tập các bài tập toán theo chương trình mới.</v>
      </c>
      <c r="L16" s="9" t="str">
        <f>IFERROR(__xludf.DUMMYFUNCTION("""COMPUTED_VALUE"""),"Phân tích hệ thống cần xây dựng gồm các chức năng:
Đăng nhập/đăng ký
Luyện tập theo chuyên đề
Làm bài thi thử
Xem kết quả
Quản lý câu hỏi (dành cho quản trị viên)
")</f>
        <v>Phân tích hệ thống cần xây dựng gồm các chức năng:
Đăng nhập/đăng ký
Luyện tập theo chuyên đề
Làm bài thi thử
Xem kết quả
Quản lý câu hỏi (dành cho quản trị viên)
</v>
      </c>
      <c r="M16" s="9"/>
      <c r="N16" s="9"/>
      <c r="O16" s="9"/>
      <c r="P16" s="9"/>
      <c r="Q16" s="9" t="str">
        <f>IFERROR(__xludf.DUMMYFUNCTION("""COMPUTED_VALUE"""),"TNDHLTK24_20251001")</f>
        <v>TNDHLTK24_20251001</v>
      </c>
    </row>
    <row r="17" ht="20.25" customHeight="1">
      <c r="A17" s="10">
        <f>IFERROR(__xludf.DUMMYFUNCTION("""COMPUTED_VALUE"""),45825.89372246528)</f>
        <v>45825.89372</v>
      </c>
      <c r="B17" s="9" t="str">
        <f>IFERROR(__xludf.DUMMYFUNCTION("""COMPUTED_VALUE"""),"tranquangthaibd020288@gmail.com")</f>
        <v>tranquangthaibd020288@gmail.com</v>
      </c>
      <c r="C17" s="9">
        <f>IFERROR(__xludf.DUMMYFUNCTION("""COMPUTED_VALUE"""),4.24000031E8)</f>
        <v>424000031</v>
      </c>
      <c r="D17" s="9" t="str">
        <f>IFERROR(__xludf.DUMMYFUNCTION("""COMPUTED_VALUE"""),"Trần quang thái")</f>
        <v>Trần quang thái</v>
      </c>
      <c r="E17" s="9" t="str">
        <f>IFERROR(__xludf.DUMMYFUNCTION("""COMPUTED_VALUE"""),"0973740740")</f>
        <v>0973740740</v>
      </c>
      <c r="F17" s="9" t="str">
        <f>IFERROR(__xludf.DUMMYFUNCTION("""COMPUTED_VALUE"""),"24ct401")</f>
        <v>24ct401</v>
      </c>
      <c r="G17" s="9" t="str">
        <f>IFERROR(__xludf.DUMMYFUNCTION("""COMPUTED_VALUE"""),"Thực hiện đồ án tốt nghiệp")</f>
        <v>Thực hiện đồ án tốt nghiệp</v>
      </c>
      <c r="H17" s="9" t="str">
        <f>IFERROR(__xludf.DUMMYFUNCTION("""COMPUTED_VALUE"""),"Hồ Ngọc Hoàng Long")</f>
        <v>Hồ Ngọc Hoàng Long</v>
      </c>
      <c r="I17" s="9" t="str">
        <f>IFERROR(__xludf.DUMMYFUNCTION("""COMPUTED_VALUE"""),"Hồ Ngọc Hoàng Long")</f>
        <v>Hồ Ngọc Hoàng Long</v>
      </c>
      <c r="J17" s="9" t="str">
        <f>IFERROR(__xludf.DUMMYFUNCTION("""COMPUTED_VALUE"""),"Web quản lý giáo dục mầm non")</f>
        <v>Web quản lý giáo dục mầm non</v>
      </c>
      <c r="K17" s="9" t="str">
        <f>IFERROR(__xludf.DUMMYFUNCTION("""COMPUTED_VALUE"""),"Giúp hiệu trưởng quản lý tốt mục tiêu giáo dục")</f>
        <v>Giúp hiệu trưởng quản lý tốt mục tiêu giáo dục</v>
      </c>
      <c r="L17" s="9" t="str">
        <f>IFERROR(__xludf.DUMMYFUNCTION("""COMPUTED_VALUE"""),"Quản lý nhân sự, quản lý giáo án, phối hợp với phụ huynh chăm sóc trẻ tốt hơn")</f>
        <v>Quản lý nhân sự, quản lý giáo án, phối hợp với phụ huynh chăm sóc trẻ tốt hơn</v>
      </c>
      <c r="M17" s="9"/>
      <c r="N17" s="9"/>
      <c r="O17" s="9"/>
      <c r="P17" s="9"/>
      <c r="Q17" s="9" t="str">
        <f>IFERROR(__xludf.DUMMYFUNCTION("""COMPUTED_VALUE"""),"TNDHLTK24_20251001")</f>
        <v>TNDHLTK24_20251001</v>
      </c>
    </row>
    <row r="18" ht="20.25" customHeight="1">
      <c r="A18" s="10">
        <f>IFERROR(__xludf.DUMMYFUNCTION("""COMPUTED_VALUE"""),45825.89700143518)</f>
        <v>45825.897</v>
      </c>
      <c r="B18" s="9" t="str">
        <f>IFERROR(__xludf.DUMMYFUNCTION("""COMPUTED_VALUE"""),"trivuong8@gmail.com")</f>
        <v>trivuong8@gmail.com</v>
      </c>
      <c r="C18" s="9">
        <f>IFERROR(__xludf.DUMMYFUNCTION("""COMPUTED_VALUE"""),7.24000019E8)</f>
        <v>724000019</v>
      </c>
      <c r="D18" s="9" t="str">
        <f>IFERROR(__xludf.DUMMYFUNCTION("""COMPUTED_VALUE"""),"Vương Tri Vương")</f>
        <v>Vương Tri Vương</v>
      </c>
      <c r="E18" s="9" t="str">
        <f>IFERROR(__xludf.DUMMYFUNCTION("""COMPUTED_VALUE"""),"0799708188")</f>
        <v>0799708188</v>
      </c>
      <c r="F18" s="9" t="str">
        <f>IFERROR(__xludf.DUMMYFUNCTION("""COMPUTED_VALUE"""),"24CT702")</f>
        <v>24CT702</v>
      </c>
      <c r="G18" s="9" t="str">
        <f>IFERROR(__xludf.DUMMYFUNCTION("""COMPUTED_VALUE"""),"Thực hiện đồ án tốt nghiệp")</f>
        <v>Thực hiện đồ án tốt nghiệp</v>
      </c>
      <c r="H18" s="9" t="str">
        <f>IFERROR(__xludf.DUMMYFUNCTION("""COMPUTED_VALUE"""),"Hồ Ngọc Hoàng Long")</f>
        <v>Hồ Ngọc Hoàng Long</v>
      </c>
      <c r="I18" s="9" t="str">
        <f>IFERROR(__xludf.DUMMYFUNCTION("""COMPUTED_VALUE"""),"Hồ Ngọc Hoàng Long")</f>
        <v>Hồ Ngọc Hoàng Long</v>
      </c>
      <c r="J18" s="9" t="str">
        <f>IFERROR(__xludf.DUMMYFUNCTION("""COMPUTED_VALUE"""),"Quản Lý Mầm Non")</f>
        <v>Quản Lý Mầm Non</v>
      </c>
      <c r="K18" s="9" t="str">
        <f>IFERROR(__xludf.DUMMYFUNCTION("""COMPUTED_VALUE"""),"giúp hiệu trưởng quản lý tốt mục tiêu giáo dục")</f>
        <v>giúp hiệu trưởng quản lý tốt mục tiêu giáo dục</v>
      </c>
      <c r="L18" s="9" t="str">
        <f>IFERROR(__xludf.DUMMYFUNCTION("""COMPUTED_VALUE"""),"quản lý nhân sự, quản lý giáo án, phối hợp với phụ huynh chăm sóc trẻ tốt hơn")</f>
        <v>quản lý nhân sự, quản lý giáo án, phối hợp với phụ huynh chăm sóc trẻ tốt hơn</v>
      </c>
      <c r="M18" s="9"/>
      <c r="N18" s="9"/>
      <c r="O18" s="9"/>
      <c r="P18" s="9"/>
      <c r="Q18" s="9" t="str">
        <f>IFERROR(__xludf.DUMMYFUNCTION("""COMPUTED_VALUE"""),"TNDHLTK24_20251001")</f>
        <v>TNDHLTK24_20251001</v>
      </c>
    </row>
    <row r="19" ht="20.25" customHeight="1">
      <c r="A19" s="10">
        <f>IFERROR(__xludf.DUMMYFUNCTION("""COMPUTED_VALUE"""),45826.34293126158)</f>
        <v>45826.34293</v>
      </c>
      <c r="B19" s="9" t="str">
        <f>IFERROR(__xludf.DUMMYFUNCTION("""COMPUTED_VALUE"""),"mysunshinemyhuong@gmail.com")</f>
        <v>mysunshinemyhuong@gmail.com</v>
      </c>
      <c r="C19" s="9">
        <f>IFERROR(__xludf.DUMMYFUNCTION("""COMPUTED_VALUE"""),7.2400012E8)</f>
        <v>724000120</v>
      </c>
      <c r="D19" s="9" t="str">
        <f>IFERROR(__xludf.DUMMYFUNCTION("""COMPUTED_VALUE"""),"Nguyễn Thị Hương")</f>
        <v>Nguyễn Thị Hương</v>
      </c>
      <c r="E19" s="9" t="str">
        <f>IFERROR(__xludf.DUMMYFUNCTION("""COMPUTED_VALUE"""),"0983416176")</f>
        <v>0983416176</v>
      </c>
      <c r="F19" s="9" t="str">
        <f>IFERROR(__xludf.DUMMYFUNCTION("""COMPUTED_VALUE"""),"24CT702")</f>
        <v>24CT702</v>
      </c>
      <c r="G19" s="9" t="str">
        <f>IFERROR(__xludf.DUMMYFUNCTION("""COMPUTED_VALUE"""),"Thực hiện đồ án tốt nghiệp")</f>
        <v>Thực hiện đồ án tốt nghiệp</v>
      </c>
      <c r="H19" s="9" t="str">
        <f>IFERROR(__xludf.DUMMYFUNCTION("""COMPUTED_VALUE"""),"HỒ NGỌC HOÀNG LONG")</f>
        <v>HỒ NGỌC HOÀNG LONG</v>
      </c>
      <c r="I19" s="9" t="str">
        <f>IFERROR(__xludf.DUMMYFUNCTION("""COMPUTED_VALUE"""),"HỒ NGỌC HOÀNG LONG")</f>
        <v>HỒ NGỌC HOÀNG LONG</v>
      </c>
      <c r="J19" s="9" t="str">
        <f>IFERROR(__xludf.DUMMYFUNCTION("""COMPUTED_VALUE"""),"Website tìm kiếm và cho thuê phòng trọ")</f>
        <v>Website tìm kiếm và cho thuê phòng trọ</v>
      </c>
      <c r="K19" s="9" t="str">
        <f>IFERROR(__xludf.DUMMYFUNCTION("""COMPUTED_VALUE"""),"Mục tiêu chính của đề tài website tìm kiếm và cho thuê phòng trọ là xây dựng một nền tảng trực tuyến hiệu quả, tiện lợi và đáng tin cậy, giúp kết nối người có nhu cầu thuê phòng với các chủ trọ, đồng thời giải quyết những khó khăn hiện tại trong quá trình"&amp;" tìm kiếm và quản lý thông tin phòng trọ")</f>
        <v>Mục tiêu chính của đề tài website tìm kiếm và cho thuê phòng trọ là xây dựng một nền tảng trực tuyến hiệu quả, tiện lợi và đáng tin cậy, giúp kết nối người có nhu cầu thuê phòng với các chủ trọ, đồng thời giải quyết những khó khăn hiện tại trong quá trình tìm kiếm và quản lý thông tin phòng trọ</v>
      </c>
      <c r="L19" s="9" t="str">
        <f>IFERROR(__xludf.DUMMYFUNCTION("""COMPUTED_VALUE"""),"Xây dựng giao diện trực quan dễ dàng sử dụng thân thiện với người dùng, chức năng tìm kiếm tích hợp, quản lý bài đăng, nạp tiền vào tài khoản, đăng tin mới")</f>
        <v>Xây dựng giao diện trực quan dễ dàng sử dụng thân thiện với người dùng, chức năng tìm kiếm tích hợp, quản lý bài đăng, nạp tiền vào tài khoản, đăng tin mới</v>
      </c>
      <c r="M19" s="9"/>
      <c r="N19" s="9"/>
      <c r="O19" s="9"/>
      <c r="P19" s="9"/>
      <c r="Q19" s="9" t="str">
        <f>IFERROR(__xludf.DUMMYFUNCTION("""COMPUTED_VALUE"""),"TNDHLTK24_20251001")</f>
        <v>TNDHLTK24_20251001</v>
      </c>
    </row>
    <row r="20" ht="20.25" customHeight="1">
      <c r="A20" s="10">
        <f>IFERROR(__xludf.DUMMYFUNCTION("""COMPUTED_VALUE"""),45826.34358984954)</f>
        <v>45826.34359</v>
      </c>
      <c r="B20" s="9" t="str">
        <f>IFERROR(__xludf.DUMMYFUNCTION("""COMPUTED_VALUE"""),"diary0101@gmail.com")</f>
        <v>diary0101@gmail.com</v>
      </c>
      <c r="C20" s="9">
        <f>IFERROR(__xludf.DUMMYFUNCTION("""COMPUTED_VALUE"""),5.24000325E8)</f>
        <v>524000325</v>
      </c>
      <c r="D20" s="9" t="str">
        <f>IFERROR(__xludf.DUMMYFUNCTION("""COMPUTED_VALUE"""),"Tạ Thị Phượng")</f>
        <v>Tạ Thị Phượng</v>
      </c>
      <c r="E20" s="9" t="str">
        <f>IFERROR(__xludf.DUMMYFUNCTION("""COMPUTED_VALUE"""),"0982928380")</f>
        <v>0982928380</v>
      </c>
      <c r="F20" s="9" t="str">
        <f>IFERROR(__xludf.DUMMYFUNCTION("""COMPUTED_VALUE"""),"24CT502")</f>
        <v>24CT502</v>
      </c>
      <c r="G20" s="9" t="str">
        <f>IFERROR(__xludf.DUMMYFUNCTION("""COMPUTED_VALUE"""),"Thực hiện đồ án tốt nghiệp")</f>
        <v>Thực hiện đồ án tốt nghiệp</v>
      </c>
      <c r="H20" s="9" t="str">
        <f>IFERROR(__xludf.DUMMYFUNCTION("""COMPUTED_VALUE"""),"Hồ Ngọc Hoàng Long")</f>
        <v>Hồ Ngọc Hoàng Long</v>
      </c>
      <c r="I20" s="9" t="str">
        <f>IFERROR(__xludf.DUMMYFUNCTION("""COMPUTED_VALUE"""),"Hồ Ngọc Hoàng Long")</f>
        <v>Hồ Ngọc Hoàng Long</v>
      </c>
      <c r="J20" s="9" t="str">
        <f>IFERROR(__xludf.DUMMYFUNCTION("""COMPUTED_VALUE"""),"Website tìm kiếm và cho thuê phòng trọ")</f>
        <v>Website tìm kiếm và cho thuê phòng trọ</v>
      </c>
      <c r="K20" s="9" t="str">
        <f>IFERROR(__xludf.DUMMYFUNCTION("""COMPUTED_VALUE"""),"Mục tiêu chính của đề tài website tìm kiếm và cho thuê phòng trọ là xây dựng một nền tảng trực tuyến hiệu quả, tiện lợi và đáng tin cậy, giúp kết nối người có nhu cầu thuê phòng với các chủ trọ, đồng thời giải quyết những khó khăn hiện tại trong quá trình"&amp;" tìm kiếm và quản lý thông tin phòng trọ")</f>
        <v>Mục tiêu chính của đề tài website tìm kiếm và cho thuê phòng trọ là xây dựng một nền tảng trực tuyến hiệu quả, tiện lợi và đáng tin cậy, giúp kết nối người có nhu cầu thuê phòng với các chủ trọ, đồng thời giải quyết những khó khăn hiện tại trong quá trình tìm kiếm và quản lý thông tin phòng trọ</v>
      </c>
      <c r="L20" s="9" t="str">
        <f>IFERROR(__xludf.DUMMYFUNCTION("""COMPUTED_VALUE"""),"Nội dung thực hiện : Xây dựng giao diện trực quan dễ dàng sử dụng thân thiện với người dùng, chức năng tìm kiếm tích hợp, quản lý bài đăng, nạp tiền vào tài khoản, đăng tin mới
")</f>
        <v>Nội dung thực hiện : Xây dựng giao diện trực quan dễ dàng sử dụng thân thiện với người dùng, chức năng tìm kiếm tích hợp, quản lý bài đăng, nạp tiền vào tài khoản, đăng tin mới
</v>
      </c>
      <c r="M20" s="9"/>
      <c r="N20" s="9"/>
      <c r="O20" s="9"/>
      <c r="P20" s="9"/>
      <c r="Q20" s="9" t="str">
        <f>IFERROR(__xludf.DUMMYFUNCTION("""COMPUTED_VALUE"""),"TNDHLTK24_20251001")</f>
        <v>TNDHLTK24_20251001</v>
      </c>
    </row>
    <row r="21" ht="20.25" customHeight="1">
      <c r="A21" s="10">
        <f>IFERROR(__xludf.DUMMYFUNCTION("""COMPUTED_VALUE"""),45826.572306064816)</f>
        <v>45826.57231</v>
      </c>
      <c r="B21" s="9" t="str">
        <f>IFERROR(__xludf.DUMMYFUNCTION("""COMPUTED_VALUE"""),"mtquang180695@gmail.com")</f>
        <v>mtquang180695@gmail.com</v>
      </c>
      <c r="C21" s="9">
        <f>IFERROR(__xludf.DUMMYFUNCTION("""COMPUTED_VALUE"""),5.24000175E8)</f>
        <v>524000175</v>
      </c>
      <c r="D21" s="9" t="str">
        <f>IFERROR(__xludf.DUMMYFUNCTION("""COMPUTED_VALUE"""),"Mai Thanh Quang")</f>
        <v>Mai Thanh Quang</v>
      </c>
      <c r="E21" s="9" t="str">
        <f>IFERROR(__xludf.DUMMYFUNCTION("""COMPUTED_VALUE"""),"0908150738")</f>
        <v>0908150738</v>
      </c>
      <c r="F21" s="9" t="str">
        <f>IFERROR(__xludf.DUMMYFUNCTION("""COMPUTED_VALUE"""),"24CT501")</f>
        <v>24CT501</v>
      </c>
      <c r="G21" s="9" t="str">
        <f>IFERROR(__xludf.DUMMYFUNCTION("""COMPUTED_VALUE"""),"Thực hiện đồ án tốt nghiệp")</f>
        <v>Thực hiện đồ án tốt nghiệp</v>
      </c>
      <c r="H21" s="9" t="str">
        <f>IFERROR(__xludf.DUMMYFUNCTION("""COMPUTED_VALUE"""),"Nguyễn Vũ Duy Quang")</f>
        <v>Nguyễn Vũ Duy Quang</v>
      </c>
      <c r="I21" s="9"/>
      <c r="J21" s="9" t="str">
        <f>IFERROR(__xludf.DUMMYFUNCTION("""COMPUTED_VALUE"""),"Xây dựng mô hình HA và chiến lược sao lưu dữ liệu hiện đại cho hệ thống doanh nghiệp năm 2025")</f>
        <v>Xây dựng mô hình HA và chiến lược sao lưu dữ liệu hiện đại cho hệ thống doanh nghiệp năm 2025</v>
      </c>
      <c r="K21" s="9" t="str">
        <f>IFERROR(__xludf.DUMMYFUNCTION("""COMPUTED_VALUE"""),"Đề tài hướng tới việc xây dựng một hệ thống thực tiễn giúp doanh nghiệp đảm bảo:
- Tính sẵn sàng cao (High Availability - HA) (bao gồm cả Network &amp; System)
- An toàn dữ liệu, giảm thiểu tối đa thiệt hại khi hỏng hóc thiết bị hoặc bị tấn công mã độc
- Ứng "&amp;"dụng các công nghệ tiên tiến")</f>
        <v>Đề tài hướng tới việc xây dựng một hệ thống thực tiễn giúp doanh nghiệp đảm bảo:
- Tính sẵn sàng cao (High Availability - HA) (bao gồm cả Network &amp; System)
- An toàn dữ liệu, giảm thiểu tối đa thiệt hại khi hỏng hóc thiết bị hoặc bị tấn công mã độc
- Ứng dụng các công nghệ tiên tiến</v>
      </c>
      <c r="L21" s="9" t="str">
        <f>IFERROR(__xludf.DUMMYFUNCTION("""COMPUTED_VALUE"""),"- Khảo sát và phân tích
- Thiết kế mô hình hệ thống
- Triển khai thử nghiệm
- Kiểm thử và đánh giá
- Kết luận và đề xuất hoàn thiện")</f>
        <v>- Khảo sát và phân tích
- Thiết kế mô hình hệ thống
- Triển khai thử nghiệm
- Kiểm thử và đánh giá
- Kết luận và đề xuất hoàn thiện</v>
      </c>
      <c r="M21" s="9"/>
      <c r="N21" s="9"/>
      <c r="O21" s="9"/>
      <c r="P21" s="9"/>
      <c r="Q21" s="9" t="str">
        <f>IFERROR(__xludf.DUMMYFUNCTION("""COMPUTED_VALUE"""),"TNDHLTK24_20251001")</f>
        <v>TNDHLTK24_20251001</v>
      </c>
    </row>
    <row r="22" ht="20.25" customHeight="1">
      <c r="A22" s="10">
        <f>IFERROR(__xludf.DUMMYFUNCTION("""COMPUTED_VALUE"""),45826.783940381945)</f>
        <v>45826.78394</v>
      </c>
      <c r="B22" s="9" t="str">
        <f>IFERROR(__xludf.DUMMYFUNCTION("""COMPUTED_VALUE"""),"tanbtu05@gmail.com")</f>
        <v>tanbtu05@gmail.com</v>
      </c>
      <c r="C22" s="9">
        <f>IFERROR(__xludf.DUMMYFUNCTION("""COMPUTED_VALUE"""),7.2400002E8)</f>
        <v>724000020</v>
      </c>
      <c r="D22" s="9" t="str">
        <f>IFERROR(__xludf.DUMMYFUNCTION("""COMPUTED_VALUE"""),"Nguyễn Văn Tấn ")</f>
        <v>Nguyễn Văn Tấn </v>
      </c>
      <c r="E22" s="9" t="str">
        <f>IFERROR(__xludf.DUMMYFUNCTION("""COMPUTED_VALUE"""),"0862547521")</f>
        <v>0862547521</v>
      </c>
      <c r="F22" s="9" t="str">
        <f>IFERROR(__xludf.DUMMYFUNCTION("""COMPUTED_VALUE"""),"24CT702")</f>
        <v>24CT702</v>
      </c>
      <c r="G22" s="9" t="str">
        <f>IFERROR(__xludf.DUMMYFUNCTION("""COMPUTED_VALUE"""),"Thực hiện đồ án tốt nghiệp")</f>
        <v>Thực hiện đồ án tốt nghiệp</v>
      </c>
      <c r="H22" s="9" t="str">
        <f>IFERROR(__xludf.DUMMYFUNCTION("""COMPUTED_VALUE"""),"Hồ Ngọc Hoàng Long")</f>
        <v>Hồ Ngọc Hoàng Long</v>
      </c>
      <c r="I22" s="9" t="str">
        <f>IFERROR(__xludf.DUMMYFUNCTION("""COMPUTED_VALUE"""),"Hồ Ngọc Hoàng Long")</f>
        <v>Hồ Ngọc Hoàng Long</v>
      </c>
      <c r="J22" s="9" t="str">
        <f>IFERROR(__xludf.DUMMYFUNCTION("""COMPUTED_VALUE"""),"Xây dựng website luyện tập toán cho hs lớp 5 với hình thức trắc nghiệm")</f>
        <v>Xây dựng website luyện tập toán cho hs lớp 5 với hình thức trắc nghiệm</v>
      </c>
      <c r="K22" s="9" t="str">
        <f>IFERROR(__xludf.DUMMYFUNCTION("""COMPUTED_VALUE"""),"Xây dựng một website đơn giản, dễ sử dụng cho học sinh lớp 5 để luyện tập các bài tập toán theo chương trình mới.")</f>
        <v>Xây dựng một website đơn giản, dễ sử dụng cho học sinh lớp 5 để luyện tập các bài tập toán theo chương trình mới.</v>
      </c>
      <c r="L22" s="9" t="str">
        <f>IFERROR(__xludf.DUMMYFUNCTION("""COMPUTED_VALUE"""),"Luyện tập theo chuyên đề
Làm bài thi thử
Xem kết quả
Quản lý câu hỏi (dành cho quản trị viên)")</f>
        <v>Luyện tập theo chuyên đề
Làm bài thi thử
Xem kết quả
Quản lý câu hỏi (dành cho quản trị viên)</v>
      </c>
      <c r="M22" s="9"/>
      <c r="N22" s="9"/>
      <c r="O22" s="9"/>
      <c r="P22" s="9"/>
      <c r="Q22" s="9" t="str">
        <f>IFERROR(__xludf.DUMMYFUNCTION("""COMPUTED_VALUE"""),"TNDHLTK24_20251001")</f>
        <v>TNDHLTK24_20251001</v>
      </c>
    </row>
    <row r="23" ht="20.25" customHeight="1">
      <c r="A23" s="10">
        <f>IFERROR(__xludf.DUMMYFUNCTION("""COMPUTED_VALUE"""),45828.820400219905)</f>
        <v>45828.8204</v>
      </c>
      <c r="B23" s="9" t="str">
        <f>IFERROR(__xludf.DUMMYFUNCTION("""COMPUTED_VALUE"""),"trantrungho71@gmail.com")</f>
        <v>trantrungho71@gmail.com</v>
      </c>
      <c r="C23" s="9">
        <f>IFERROR(__xludf.DUMMYFUNCTION("""COMPUTED_VALUE"""),5.24000322E8)</f>
        <v>524000322</v>
      </c>
      <c r="D23" s="9" t="str">
        <f>IFERROR(__xludf.DUMMYFUNCTION("""COMPUTED_VALUE"""),"Nguyễn Anh Trí")</f>
        <v>Nguyễn Anh Trí</v>
      </c>
      <c r="E23" s="9" t="str">
        <f>IFERROR(__xludf.DUMMYFUNCTION("""COMPUTED_VALUE"""),"0359071715")</f>
        <v>0359071715</v>
      </c>
      <c r="F23" s="9" t="str">
        <f>IFERROR(__xludf.DUMMYFUNCTION("""COMPUTED_VALUE"""),"24CT502")</f>
        <v>24CT502</v>
      </c>
      <c r="G23" s="9" t="str">
        <f>IFERROR(__xludf.DUMMYFUNCTION("""COMPUTED_VALUE"""),"Thực hiện đồ án tốt nghiệp")</f>
        <v>Thực hiện đồ án tốt nghiệp</v>
      </c>
      <c r="H23" s="9" t="str">
        <f>IFERROR(__xludf.DUMMYFUNCTION("""COMPUTED_VALUE"""),"Hoàng Hải Dương")</f>
        <v>Hoàng Hải Dương</v>
      </c>
      <c r="I23" s="9" t="str">
        <f>IFERROR(__xludf.DUMMYFUNCTION("""COMPUTED_VALUE"""),"Hoàng Hải Dương")</f>
        <v>Hoàng Hải Dương</v>
      </c>
      <c r="J23" s="9" t="str">
        <f>IFERROR(__xludf.DUMMYFUNCTION("""COMPUTED_VALUE"""),"Tạo trò chơi trên nền tảng Warcraft III: Reforged")</f>
        <v>Tạo trò chơi trên nền tảng Warcraft III: Reforged</v>
      </c>
      <c r="K23" s="9" t="str">
        <f>IFERROR(__xludf.DUMMYFUNCTION("""COMPUTED_VALUE"""),"Thiết kế trò chơi thuộc thể loại Dungeon Crawler dựa trên nền tảng của Warcraft III: Reforged")</f>
        <v>Thiết kế trò chơi thuộc thể loại Dungeon Crawler dựa trên nền tảng của Warcraft III: Reforged</v>
      </c>
      <c r="L23" s="9" t="str">
        <f>IFERROR(__xludf.DUMMYFUNCTION("""COMPUTED_VALUE"""),"Phân tích và xác định cơ chế lối chơi của thể loại Dungeon Crawler, Viết mã để xây dựng các chức năng của trò chơi cũng như kiểm thử và chỉnh sửa lỗi trong quá trình phát triển")</f>
        <v>Phân tích và xác định cơ chế lối chơi của thể loại Dungeon Crawler, Viết mã để xây dựng các chức năng của trò chơi cũng như kiểm thử và chỉnh sửa lỗi trong quá trình phát triển</v>
      </c>
      <c r="M23" s="9"/>
      <c r="N23" s="9"/>
      <c r="O23" s="9"/>
      <c r="P23" s="9"/>
      <c r="Q23" s="9" t="str">
        <f>IFERROR(__xludf.DUMMYFUNCTION("""COMPUTED_VALUE"""),"TNDHLTK24_20251001")</f>
        <v>TNDHLTK24_20251001</v>
      </c>
    </row>
    <row r="24" ht="20.25" customHeight="1">
      <c r="A24" s="10">
        <f>IFERROR(__xludf.DUMMYFUNCTION("""COMPUTED_VALUE"""),45829.44940013889)</f>
        <v>45829.4494</v>
      </c>
      <c r="B24" s="9" t="str">
        <f>IFERROR(__xludf.DUMMYFUNCTION("""COMPUTED_VALUE"""),"hoangvu2577@gmail.com")</f>
        <v>hoangvu2577@gmail.com</v>
      </c>
      <c r="C24" s="9">
        <f>IFERROR(__xludf.DUMMYFUNCTION("""COMPUTED_VALUE"""),7.2400003E8)</f>
        <v>724000030</v>
      </c>
      <c r="D24" s="9" t="str">
        <f>IFERROR(__xludf.DUMMYFUNCTION("""COMPUTED_VALUE"""),"LÊ ĐÌNH HOÀNG VŨ")</f>
        <v>LÊ ĐÌNH HOÀNG VŨ</v>
      </c>
      <c r="E24" s="9" t="str">
        <f>IFERROR(__xludf.DUMMYFUNCTION("""COMPUTED_VALUE"""),"0961458243")</f>
        <v>0961458243</v>
      </c>
      <c r="F24" s="9" t="str">
        <f>IFERROR(__xludf.DUMMYFUNCTION("""COMPUTED_VALUE"""),"24CT702")</f>
        <v>24CT702</v>
      </c>
      <c r="G24" s="9" t="str">
        <f>IFERROR(__xludf.DUMMYFUNCTION("""COMPUTED_VALUE"""),"Thực hiện đồ án tốt nghiệp")</f>
        <v>Thực hiện đồ án tốt nghiệp</v>
      </c>
      <c r="H24" s="9" t="str">
        <f>IFERROR(__xludf.DUMMYFUNCTION("""COMPUTED_VALUE"""),"Bùi Thị Thu Trang")</f>
        <v>Bùi Thị Thu Trang</v>
      </c>
      <c r="I24" s="9"/>
      <c r="J24" s="9" t="str">
        <f>IFERROR(__xludf.DUMMYFUNCTION("""COMPUTED_VALUE"""),"Thiết kế giao diện công ty truyền thông")</f>
        <v>Thiết kế giao diện công ty truyền thông</v>
      </c>
      <c r="K24" s="9" t="str">
        <f>IFERROR(__xludf.DUMMYFUNCTION("""COMPUTED_VALUE"""),"Thiết kế giao diện công ty truyền thông")</f>
        <v>Thiết kế giao diện công ty truyền thông</v>
      </c>
      <c r="L24" s="9" t="str">
        <f>IFERROR(__xludf.DUMMYFUNCTION("""COMPUTED_VALUE"""),"Sử dụng phần mềm figma để thực hiện")</f>
        <v>Sử dụng phần mềm figma để thực hiện</v>
      </c>
      <c r="M24" s="9"/>
      <c r="N24" s="9"/>
      <c r="O24" s="9"/>
      <c r="P24" s="9"/>
      <c r="Q24" s="9" t="str">
        <f>IFERROR(__xludf.DUMMYFUNCTION("""COMPUTED_VALUE"""),"TNDHLTK24_20251001")</f>
        <v>TNDHLTK24_20251001</v>
      </c>
    </row>
    <row r="25" ht="20.25" customHeight="1">
      <c r="A25" s="10">
        <f>IFERROR(__xludf.DUMMYFUNCTION("""COMPUTED_VALUE"""),45830.85527302083)</f>
        <v>45830.85527</v>
      </c>
      <c r="B25" s="9" t="str">
        <f>IFERROR(__xludf.DUMMYFUNCTION("""COMPUTED_VALUE"""),"ap20192807@gmail.com")</f>
        <v>ap20192807@gmail.com</v>
      </c>
      <c r="C25" s="9">
        <f>IFERROR(__xludf.DUMMYFUNCTION("""COMPUTED_VALUE"""),5.24000187E8)</f>
        <v>524000187</v>
      </c>
      <c r="D25" s="9" t="str">
        <f>IFERROR(__xludf.DUMMYFUNCTION("""COMPUTED_VALUE"""),"Phạm Văn Anh")</f>
        <v>Phạm Văn Anh</v>
      </c>
      <c r="E25" s="9" t="str">
        <f>IFERROR(__xludf.DUMMYFUNCTION("""COMPUTED_VALUE"""),"0827366999")</f>
        <v>0827366999</v>
      </c>
      <c r="F25" s="9" t="str">
        <f>IFERROR(__xludf.DUMMYFUNCTION("""COMPUTED_VALUE"""),"24CT501")</f>
        <v>24CT501</v>
      </c>
      <c r="G25" s="9" t="str">
        <f>IFERROR(__xludf.DUMMYFUNCTION("""COMPUTED_VALUE"""),"Thực hiện đồ án tốt nghiệp")</f>
        <v>Thực hiện đồ án tốt nghiệp</v>
      </c>
      <c r="H25" s="9" t="str">
        <f>IFERROR(__xludf.DUMMYFUNCTION("""COMPUTED_VALUE"""),"Hồ Ngọc Hoàng Long")</f>
        <v>Hồ Ngọc Hoàng Long</v>
      </c>
      <c r="I25" s="9" t="str">
        <f>IFERROR(__xludf.DUMMYFUNCTION("""COMPUTED_VALUE"""),"Hồ Ngọc Hoàng Long")</f>
        <v>Hồ Ngọc Hoàng Long</v>
      </c>
      <c r="J25" s="9" t="str">
        <f>IFERROR(__xludf.DUMMYFUNCTION("""COMPUTED_VALUE"""),"Xây dựng website Cổng thông tin Phòng GD14- KBNN KV XV")</f>
        <v>Xây dựng website Cổng thông tin Phòng GD14- KBNN KV XV</v>
      </c>
      <c r="K25" s="9" t="str">
        <f>IFERROR(__xludf.DUMMYFUNCTION("""COMPUTED_VALUE"""),"Giới thiếu về cơ quan và các hoạt động nghiệp vụ  của cơ quan")</f>
        <v>Giới thiếu về cơ quan và các hoạt động nghiệp vụ  của cơ quan</v>
      </c>
      <c r="L25" s="9" t="str">
        <f>IFERROR(__xludf.DUMMYFUNCTION("""COMPUTED_VALUE"""),"xây dựng trang web giới thiệu cơ quan và các hoạt động nghiệp vụ, thông báo về các hoạt động của cơ quan")</f>
        <v>xây dựng trang web giới thiệu cơ quan và các hoạt động nghiệp vụ, thông báo về các hoạt động của cơ quan</v>
      </c>
      <c r="M25" s="9"/>
      <c r="N25" s="9"/>
      <c r="O25" s="9"/>
      <c r="P25" s="9"/>
      <c r="Q25" s="9" t="str">
        <f>IFERROR(__xludf.DUMMYFUNCTION("""COMPUTED_VALUE"""),"TNDHLTK24_20251001")</f>
        <v>TNDHLTK24_20251001</v>
      </c>
    </row>
    <row r="26" ht="20.25" customHeight="1">
      <c r="A26" s="10">
        <f>IFERROR(__xludf.DUMMYFUNCTION("""COMPUTED_VALUE"""),45838.464727812505)</f>
        <v>45838.46473</v>
      </c>
      <c r="B26" s="9" t="str">
        <f>IFERROR(__xludf.DUMMYFUNCTION("""COMPUTED_VALUE"""),"kn360814@gmail.com")</f>
        <v>kn360814@gmail.com</v>
      </c>
      <c r="C26" s="9">
        <f>IFERROR(__xludf.DUMMYFUNCTION("""COMPUTED_VALUE"""),1.21000776E8)</f>
        <v>121000776</v>
      </c>
      <c r="D26" s="9" t="str">
        <f>IFERROR(__xludf.DUMMYFUNCTION("""COMPUTED_VALUE"""),"Nguyễn Hoàng Phúc Khang")</f>
        <v>Nguyễn Hoàng Phúc Khang</v>
      </c>
      <c r="E26" s="9" t="str">
        <f>IFERROR(__xludf.DUMMYFUNCTION("""COMPUTED_VALUE"""),"0398021167")</f>
        <v>0398021167</v>
      </c>
      <c r="F26" s="9" t="str">
        <f>IFERROR(__xludf.DUMMYFUNCTION("""COMPUTED_VALUE"""),"21CT114")</f>
        <v>21CT114</v>
      </c>
      <c r="G26" s="9" t="str">
        <f>IFERROR(__xludf.DUMMYFUNCTION("""COMPUTED_VALUE"""),"Thực hiện đồ án tốt nghiệp")</f>
        <v>Thực hiện đồ án tốt nghiệp</v>
      </c>
      <c r="H26" s="9" t="str">
        <f>IFERROR(__xludf.DUMMYFUNCTION("""COMPUTED_VALUE"""),"Phan Mạnh Thường")</f>
        <v>Phan Mạnh Thường</v>
      </c>
      <c r="I26" s="9"/>
      <c r="J26" s="9" t="str">
        <f>IFERROR(__xludf.DUMMYFUNCTION("""COMPUTED_VALUE"""),"Xây dựng Web quản lý nhân sự")</f>
        <v>Xây dựng Web quản lý nhân sự</v>
      </c>
      <c r="K26" s="9" t="str">
        <f>IFERROR(__xludf.DUMMYFUNCTION("""COMPUTED_VALUE"""),"Có trong thuyết minh")</f>
        <v>Có trong thuyết minh</v>
      </c>
      <c r="L26" s="9" t="str">
        <f>IFERROR(__xludf.DUMMYFUNCTION("""COMPUTED_VALUE"""),"Có trong thuyết minh")</f>
        <v>Có trong thuyết minh</v>
      </c>
      <c r="M26" s="9"/>
      <c r="N26" s="9"/>
      <c r="O26" s="9"/>
      <c r="P26" s="9"/>
      <c r="Q26" s="9" t="str">
        <f>IFERROR(__xludf.DUMMYFUNCTION("""COMPUTED_VALUE"""),"TNDHLTK24_20251001")</f>
        <v>TNDHLTK24_20251001</v>
      </c>
    </row>
    <row r="27" ht="20.25" customHeight="1">
      <c r="A27" s="10">
        <f>IFERROR(__xludf.DUMMYFUNCTION("""COMPUTED_VALUE"""),45838.484778819446)</f>
        <v>45838.48478</v>
      </c>
      <c r="B27" s="9" t="str">
        <f>IFERROR(__xludf.DUMMYFUNCTION("""COMPUTED_VALUE"""),"tamthiletran@gmail.com")</f>
        <v>tamthiletran@gmail.com</v>
      </c>
      <c r="C27" s="9">
        <f>IFERROR(__xludf.DUMMYFUNCTION("""COMPUTED_VALUE"""),5.24000184E8)</f>
        <v>524000184</v>
      </c>
      <c r="D27" s="9" t="str">
        <f>IFERROR(__xludf.DUMMYFUNCTION("""COMPUTED_VALUE"""),"Lê Trần Tâm Thi")</f>
        <v>Lê Trần Tâm Thi</v>
      </c>
      <c r="E27" s="9">
        <f>IFERROR(__xludf.DUMMYFUNCTION("""COMPUTED_VALUE"""),9.1752597E8)</f>
        <v>917525970</v>
      </c>
      <c r="F27" s="9" t="str">
        <f>IFERROR(__xludf.DUMMYFUNCTION("""COMPUTED_VALUE"""),"24CT501")</f>
        <v>24CT501</v>
      </c>
      <c r="G27" s="9" t="str">
        <f>IFERROR(__xludf.DUMMYFUNCTION("""COMPUTED_VALUE"""),"Thực hiện đồ án tốt nghiệp")</f>
        <v>Thực hiện đồ án tốt nghiệp</v>
      </c>
      <c r="H27" s="9" t="str">
        <f>IFERROR(__xludf.DUMMYFUNCTION("""COMPUTED_VALUE"""),"Phan Mạnh Thường")</f>
        <v>Phan Mạnh Thường</v>
      </c>
      <c r="I27" s="9"/>
      <c r="J27" s="9" t="str">
        <f>IFERROR(__xludf.DUMMYFUNCTION("""COMPUTED_VALUE"""),"Xây dựng Website bán thời trang eco")</f>
        <v>Xây dựng Website bán thời trang eco</v>
      </c>
      <c r="K27" s="9" t="str">
        <f>IFERROR(__xludf.DUMMYFUNCTION("""COMPUTED_VALUE"""),"Xây dựng website kinh doanh, tối ưu SEO")</f>
        <v>Xây dựng website kinh doanh, tối ưu SEO</v>
      </c>
      <c r="L27" s="9" t="str">
        <f>IFERROR(__xludf.DUMMYFUNCTION("""COMPUTED_VALUE"""),"Xây dựng website kinh doanh, tối ưu SEO")</f>
        <v>Xây dựng website kinh doanh, tối ưu SEO</v>
      </c>
      <c r="M27" s="9"/>
      <c r="N27" s="9"/>
      <c r="O27" s="9"/>
      <c r="P27" s="9"/>
      <c r="Q27" s="9" t="str">
        <f>IFERROR(__xludf.DUMMYFUNCTION("""COMPUTED_VALUE"""),"TNDHLTK24_20251001")</f>
        <v>TNDHLTK24_20251001</v>
      </c>
    </row>
    <row r="28" ht="20.25" customHeight="1">
      <c r="A28" s="10">
        <f>IFERROR(__xludf.DUMMYFUNCTION("""COMPUTED_VALUE"""),45838.6449171412)</f>
        <v>45838.64492</v>
      </c>
      <c r="B28" s="9" t="str">
        <f>IFERROR(__xludf.DUMMYFUNCTION("""COMPUTED_VALUE"""),"nxak1505@gmail.com")</f>
        <v>nxak1505@gmail.com</v>
      </c>
      <c r="C28" s="9">
        <f>IFERROR(__xludf.DUMMYFUNCTION("""COMPUTED_VALUE"""),4.24000052E8)</f>
        <v>424000052</v>
      </c>
      <c r="D28" s="9" t="str">
        <f>IFERROR(__xludf.DUMMYFUNCTION("""COMPUTED_VALUE"""),"Nguyễn Xuân Anh Kiệt")</f>
        <v>Nguyễn Xuân Anh Kiệt</v>
      </c>
      <c r="E28" s="9" t="str">
        <f>IFERROR(__xludf.DUMMYFUNCTION("""COMPUTED_VALUE"""),"0794757515")</f>
        <v>0794757515</v>
      </c>
      <c r="F28" s="9" t="str">
        <f>IFERROR(__xludf.DUMMYFUNCTION("""COMPUTED_VALUE"""),"24CT402")</f>
        <v>24CT402</v>
      </c>
      <c r="G28" s="9" t="str">
        <f>IFERROR(__xludf.DUMMYFUNCTION("""COMPUTED_VALUE"""),"Thực hiện đồ án tốt nghiệp")</f>
        <v>Thực hiện đồ án tốt nghiệp</v>
      </c>
      <c r="H28" s="9" t="str">
        <f>IFERROR(__xludf.DUMMYFUNCTION("""COMPUTED_VALUE"""),"Hoàng Hải Dương")</f>
        <v>Hoàng Hải Dương</v>
      </c>
      <c r="I28" s="9" t="str">
        <f>IFERROR(__xludf.DUMMYFUNCTION("""COMPUTED_VALUE"""),"Hoàng Hải Dương")</f>
        <v>Hoàng Hải Dương</v>
      </c>
      <c r="J28" s="9" t="str">
        <f>IFERROR(__xludf.DUMMYFUNCTION("""COMPUTED_VALUE"""),"Ứng dụng web bán thiết bị công nghệ")</f>
        <v>Ứng dụng web bán thiết bị công nghệ</v>
      </c>
      <c r="K28" s="9" t="str">
        <f>IFERROR(__xludf.DUMMYFUNCTION("""COMPUTED_VALUE"""),"Hoàn thiện ứng dụng web giống với các trang bán lẻ sản phẩm công nghệ")</f>
        <v>Hoàn thiện ứng dụng web giống với các trang bán lẻ sản phẩm công nghệ</v>
      </c>
      <c r="L28" s="9" t="str">
        <f>IFERROR(__xludf.DUMMYFUNCTION("""COMPUTED_VALUE"""),"xây dựng backend và frontend cho trang web để trang web có giao diện đẹp mắt và tốc độ cao cùng với khả năng xử lý thông tin và gọi api nhanh chóng")</f>
        <v>xây dựng backend và frontend cho trang web để trang web có giao diện đẹp mắt và tốc độ cao cùng với khả năng xử lý thông tin và gọi api nhanh chóng</v>
      </c>
      <c r="M28" s="9"/>
      <c r="N28" s="9"/>
      <c r="O28" s="9"/>
      <c r="P28" s="9"/>
      <c r="Q28" s="9" t="str">
        <f>IFERROR(__xludf.DUMMYFUNCTION("""COMPUTED_VALUE"""),"TNDHLTK24_20251001")</f>
        <v>TNDHLTK24_20251001</v>
      </c>
    </row>
    <row r="29" ht="20.25" customHeight="1">
      <c r="A29" s="10">
        <f>IFERROR(__xludf.DUMMYFUNCTION("""COMPUTED_VALUE"""),45838.65407217592)</f>
        <v>45838.65407</v>
      </c>
      <c r="B29" s="9" t="str">
        <f>IFERROR(__xludf.DUMMYFUNCTION("""COMPUTED_VALUE"""),"nhatvip23456@gmail.com")</f>
        <v>nhatvip23456@gmail.com</v>
      </c>
      <c r="C29" s="9">
        <f>IFERROR(__xludf.DUMMYFUNCTION("""COMPUTED_VALUE"""),4.24000051E8)</f>
        <v>424000051</v>
      </c>
      <c r="D29" s="9" t="str">
        <f>IFERROR(__xludf.DUMMYFUNCTION("""COMPUTED_VALUE"""),"Nguyễn Nhật Anh")</f>
        <v>Nguyễn Nhật Anh</v>
      </c>
      <c r="E29" s="9" t="str">
        <f>IFERROR(__xludf.DUMMYFUNCTION("""COMPUTED_VALUE"""),"0813121270")</f>
        <v>0813121270</v>
      </c>
      <c r="F29" s="9" t="str">
        <f>IFERROR(__xludf.DUMMYFUNCTION("""COMPUTED_VALUE"""),"24CT402")</f>
        <v>24CT402</v>
      </c>
      <c r="G29" s="9" t="str">
        <f>IFERROR(__xludf.DUMMYFUNCTION("""COMPUTED_VALUE"""),"Thực hiện đồ án tốt nghiệp")</f>
        <v>Thực hiện đồ án tốt nghiệp</v>
      </c>
      <c r="H29" s="9" t="str">
        <f>IFERROR(__xludf.DUMMYFUNCTION("""COMPUTED_VALUE"""),"Hoàng Hải Dương")</f>
        <v>Hoàng Hải Dương</v>
      </c>
      <c r="I29" s="9" t="str">
        <f>IFERROR(__xludf.DUMMYFUNCTION("""COMPUTED_VALUE"""),"Hoàng Hải Dương")</f>
        <v>Hoàng Hải Dương</v>
      </c>
      <c r="J29" s="9" t="str">
        <f>IFERROR(__xludf.DUMMYFUNCTION("""COMPUTED_VALUE"""),"ứng dụng web bán thiết bị công nghệ")</f>
        <v>ứng dụng web bán thiết bị công nghệ</v>
      </c>
      <c r="K29" s="9" t="str">
        <f>IFERROR(__xludf.DUMMYFUNCTION("""COMPUTED_VALUE"""),"hoàn thiện ứng dụng web với đầy đủ chức năng cần thiết giống với các trang web bán lẻ sản phẩm công nghệ ")</f>
        <v>hoàn thiện ứng dụng web với đầy đủ chức năng cần thiết giống với các trang web bán lẻ sản phẩm công nghệ </v>
      </c>
      <c r="L29" s="9" t="str">
        <f>IFERROR(__xludf.DUMMYFUNCTION("""COMPUTED_VALUE"""),"xây dựng backend và frontend cho trang web để trang web có giao diện đẹp mắt và tốc độ cao cùng với khả năng xử lý thông tin và gọi API nhanh chóng")</f>
        <v>xây dựng backend và frontend cho trang web để trang web có giao diện đẹp mắt và tốc độ cao cùng với khả năng xử lý thông tin và gọi API nhanh chóng</v>
      </c>
      <c r="M29" s="9"/>
      <c r="N29" s="9"/>
      <c r="O29" s="9"/>
      <c r="P29" s="9"/>
      <c r="Q29" s="9" t="str">
        <f>IFERROR(__xludf.DUMMYFUNCTION("""COMPUTED_VALUE"""),"TNDHLTK24_20251001")</f>
        <v>TNDHLTK24_20251001</v>
      </c>
    </row>
    <row r="30" ht="20.25" customHeight="1">
      <c r="A30" s="10">
        <f>IFERROR(__xludf.DUMMYFUNCTION("""COMPUTED_VALUE"""),45838.76848841435)</f>
        <v>45838.76849</v>
      </c>
      <c r="B30" s="9" t="str">
        <f>IFERROR(__xludf.DUMMYFUNCTION("""COMPUTED_VALUE"""),"nguyenhuuphuc.nhp210@gmail.com")</f>
        <v>nguyenhuuphuc.nhp210@gmail.com</v>
      </c>
      <c r="C30" s="9">
        <f>IFERROR(__xludf.DUMMYFUNCTION("""COMPUTED_VALUE"""),4.2400006E8)</f>
        <v>424000060</v>
      </c>
      <c r="D30" s="9" t="str">
        <f>IFERROR(__xludf.DUMMYFUNCTION("""COMPUTED_VALUE"""),"Nguyễn Hữu Phúc")</f>
        <v>Nguyễn Hữu Phúc</v>
      </c>
      <c r="E30" s="9" t="str">
        <f>IFERROR(__xludf.DUMMYFUNCTION("""COMPUTED_VALUE"""),"0328093454")</f>
        <v>0328093454</v>
      </c>
      <c r="F30" s="9" t="str">
        <f>IFERROR(__xludf.DUMMYFUNCTION("""COMPUTED_VALUE"""),"24CT402")</f>
        <v>24CT402</v>
      </c>
      <c r="G30" s="9" t="str">
        <f>IFERROR(__xludf.DUMMYFUNCTION("""COMPUTED_VALUE"""),"Thực hiện đồ án tốt nghiệp")</f>
        <v>Thực hiện đồ án tốt nghiệp</v>
      </c>
      <c r="H30" s="9" t="str">
        <f>IFERROR(__xludf.DUMMYFUNCTION("""COMPUTED_VALUE"""),"Phan Mạnh Thường")</f>
        <v>Phan Mạnh Thường</v>
      </c>
      <c r="I30" s="9"/>
      <c r="J30" s="9" t="str">
        <f>IFERROR(__xludf.DUMMYFUNCTION("""COMPUTED_VALUE"""),"Website bán linh kiện điện tử")</f>
        <v>Website bán linh kiện điện tử</v>
      </c>
      <c r="K30" s="9" t="str">
        <f>IFERROR(__xludf.DUMMYFUNCTION("""COMPUTED_VALUE"""),"Xây dựng nền tảng giúp người dùng có thể mua linh kiện điện tử đơn giản nhất")</f>
        <v>Xây dựng nền tảng giúp người dùng có thể mua linh kiện điện tử đơn giản nhất</v>
      </c>
      <c r="L30" s="9" t="str">
        <f>IFERROR(__xludf.DUMMYFUNCTION("""COMPUTED_VALUE"""),"Xây dựng website bán linh kiện điện tử bao gồm:
- UI thân thiện với mọi người dùng
- Có affiliate theo từng click mua hàng
- Tối ưu hệ thống giúp cho trải nghiệm tốt hơn")</f>
        <v>Xây dựng website bán linh kiện điện tử bao gồm:
- UI thân thiện với mọi người dùng
- Có affiliate theo từng click mua hàng
- Tối ưu hệ thống giúp cho trải nghiệm tốt hơn</v>
      </c>
      <c r="M30" s="9"/>
      <c r="N30" s="9"/>
      <c r="O30" s="9"/>
      <c r="P30" s="9"/>
      <c r="Q30" s="9" t="str">
        <f>IFERROR(__xludf.DUMMYFUNCTION("""COMPUTED_VALUE"""),"TNDHLTK24_20251001")</f>
        <v>TNDHLTK24_20251001</v>
      </c>
    </row>
    <row r="31" ht="20.25" customHeight="1">
      <c r="A31" s="10">
        <f>IFERROR(__xludf.DUMMYFUNCTION("""COMPUTED_VALUE"""),45838.973537777776)</f>
        <v>45838.97354</v>
      </c>
      <c r="B31" s="9" t="str">
        <f>IFERROR(__xludf.DUMMYFUNCTION("""COMPUTED_VALUE"""),"phamtam102@gmail.com")</f>
        <v>phamtam102@gmail.com</v>
      </c>
      <c r="C31" s="9">
        <f>IFERROR(__xludf.DUMMYFUNCTION("""COMPUTED_VALUE"""),5.2400018E8)</f>
        <v>524000180</v>
      </c>
      <c r="D31" s="9" t="str">
        <f>IFERROR(__xludf.DUMMYFUNCTION("""COMPUTED_VALUE"""),"Phạm Ngọc Tâm")</f>
        <v>Phạm Ngọc Tâm</v>
      </c>
      <c r="E31" s="9" t="str">
        <f>IFERROR(__xludf.DUMMYFUNCTION("""COMPUTED_VALUE"""),"0938758842")</f>
        <v>0938758842</v>
      </c>
      <c r="F31" s="9" t="str">
        <f>IFERROR(__xludf.DUMMYFUNCTION("""COMPUTED_VALUE"""),"24CT501")</f>
        <v>24CT501</v>
      </c>
      <c r="G31" s="9" t="str">
        <f>IFERROR(__xludf.DUMMYFUNCTION("""COMPUTED_VALUE"""),"Thực hiện đồ án tốt nghiệp")</f>
        <v>Thực hiện đồ án tốt nghiệp</v>
      </c>
      <c r="H31" s="9" t="str">
        <f>IFERROR(__xludf.DUMMYFUNCTION("""COMPUTED_VALUE"""),"Phan Mạnh Thường")</f>
        <v>Phan Mạnh Thường</v>
      </c>
      <c r="I31" s="9"/>
      <c r="J31" s="9" t="str">
        <f>IFERROR(__xludf.DUMMYFUNCTION("""COMPUTED_VALUE"""),"Web luyện thi ielts 2 kỹ năng reading và listening")</f>
        <v>Web luyện thi ielts 2 kỹ năng reading và listening</v>
      </c>
      <c r="K31" s="9" t="str">
        <f>IFERROR(__xludf.DUMMYFUNCTION("""COMPUTED_VALUE"""),"Web luyện thi ielts 2 kỹ năng reading và listening, học cần có tài khoản, để vào được web thì cần được admin xét duyệt. CRUD các bài test, học sinh. Lưu lại điểm số sau mỗi lần làm bài.")</f>
        <v>Web luyện thi ielts 2 kỹ năng reading và listening, học cần có tài khoản, để vào được web thì cần được admin xét duyệt. CRUD các bài test, học sinh. Lưu lại điểm số sau mỗi lần làm bài.</v>
      </c>
      <c r="L31" s="9" t="str">
        <f>IFERROR(__xludf.DUMMYFUNCTION("""COMPUTED_VALUE"""),"Web luyện thi ielts 2 kỹ năng reading và listening")</f>
        <v>Web luyện thi ielts 2 kỹ năng reading và listening</v>
      </c>
      <c r="M31" s="9"/>
      <c r="N31" s="9"/>
      <c r="O31" s="9"/>
      <c r="P31" s="9"/>
      <c r="Q31" s="9" t="str">
        <f>IFERROR(__xludf.DUMMYFUNCTION("""COMPUTED_VALUE"""),"TNDHLTK24_20251001")</f>
        <v>TNDHLTK24_20251001</v>
      </c>
    </row>
    <row r="32" ht="20.25" customHeight="1">
      <c r="A32" s="10">
        <f>IFERROR(__xludf.DUMMYFUNCTION("""COMPUTED_VALUE"""),45840.48971711806)</f>
        <v>45840.48972</v>
      </c>
      <c r="B32" s="9" t="str">
        <f>IFERROR(__xludf.DUMMYFUNCTION("""COMPUTED_VALUE"""),"hienvh.dni@gmail.com")</f>
        <v>hienvh.dni@gmail.com</v>
      </c>
      <c r="C32" s="9">
        <f>IFERROR(__xludf.DUMMYFUNCTION("""COMPUTED_VALUE"""),4.24000036E8)</f>
        <v>424000036</v>
      </c>
      <c r="D32" s="9" t="str">
        <f>IFERROR(__xludf.DUMMYFUNCTION("""COMPUTED_VALUE"""),"Võ Hữu Hiền")</f>
        <v>Võ Hữu Hiền</v>
      </c>
      <c r="E32" s="9" t="str">
        <f>IFERROR(__xludf.DUMMYFUNCTION("""COMPUTED_VALUE"""),"0918064444")</f>
        <v>0918064444</v>
      </c>
      <c r="F32" s="9" t="str">
        <f>IFERROR(__xludf.DUMMYFUNCTION("""COMPUTED_VALUE"""),"24CT401")</f>
        <v>24CT401</v>
      </c>
      <c r="G32" s="9" t="str">
        <f>IFERROR(__xludf.DUMMYFUNCTION("""COMPUTED_VALUE"""),"Thực hiện đồ án tốt nghiệp")</f>
        <v>Thực hiện đồ án tốt nghiệp</v>
      </c>
      <c r="H32" s="9" t="str">
        <f>IFERROR(__xludf.DUMMYFUNCTION("""COMPUTED_VALUE"""),"Nguyễn Minh Phúc")</f>
        <v>Nguyễn Minh Phúc</v>
      </c>
      <c r="I32" s="9"/>
      <c r="J32" s="9" t="str">
        <f>IFERROR(__xludf.DUMMYFUNCTION("""COMPUTED_VALUE"""),"ỨNG DỤNG CÔNG NGHỆ XGSPON TRONG NÂNG CẤP MẠNG TRUYỀN DẪN VNPT")</f>
        <v>ỨNG DỤNG CÔNG NGHỆ XGSPON TRONG NÂNG CẤP MẠNG TRUYỀN DẪN VNPT</v>
      </c>
      <c r="K32" s="9" t="str">
        <f>IFERROR(__xludf.DUMMYFUNCTION("""COMPUTED_VALUE"""),"Chất lượng mạng lưới")</f>
        <v>Chất lượng mạng lưới</v>
      </c>
      <c r="L32" s="9" t="str">
        <f>IFERROR(__xludf.DUMMYFUNCTION("""COMPUTED_VALUE"""),"Áp dụng công nghệ mới, nâng cao tốc độ mạng")</f>
        <v>Áp dụng công nghệ mới, nâng cao tốc độ mạng</v>
      </c>
      <c r="M32" s="9"/>
      <c r="N32" s="9"/>
      <c r="O32" s="9"/>
      <c r="P32" s="9"/>
      <c r="Q32" s="9" t="str">
        <f>IFERROR(__xludf.DUMMYFUNCTION("""COMPUTED_VALUE"""),"TNDHLTK24_20251001")</f>
        <v>TNDHLTK24_20251001</v>
      </c>
    </row>
    <row r="33" ht="20.25" customHeight="1">
      <c r="A33" s="10">
        <f>IFERROR(__xludf.DUMMYFUNCTION("""COMPUTED_VALUE"""),45840.63942869213)</f>
        <v>45840.63943</v>
      </c>
      <c r="B33" s="9" t="str">
        <f>IFERROR(__xludf.DUMMYFUNCTION("""COMPUTED_VALUE"""),"leloc78@gmail.com")</f>
        <v>leloc78@gmail.com</v>
      </c>
      <c r="C33" s="9">
        <f>IFERROR(__xludf.DUMMYFUNCTION("""COMPUTED_VALUE"""),5.24000456E8)</f>
        <v>524000456</v>
      </c>
      <c r="D33" s="9" t="str">
        <f>IFERROR(__xludf.DUMMYFUNCTION("""COMPUTED_VALUE"""),"LÊ VĂN LỘC")</f>
        <v>LÊ VĂN LỘC</v>
      </c>
      <c r="E33" s="9" t="str">
        <f>IFERROR(__xludf.DUMMYFUNCTION("""COMPUTED_VALUE"""),"0917559755")</f>
        <v>0917559755</v>
      </c>
      <c r="F33" s="9" t="str">
        <f>IFERROR(__xludf.DUMMYFUNCTION("""COMPUTED_VALUE"""),"24CT502")</f>
        <v>24CT502</v>
      </c>
      <c r="G33" s="9" t="str">
        <f>IFERROR(__xludf.DUMMYFUNCTION("""COMPUTED_VALUE"""),"Thực hiện đồ án tốt nghiệp")</f>
        <v>Thực hiện đồ án tốt nghiệp</v>
      </c>
      <c r="H33" s="9" t="str">
        <f>IFERROR(__xludf.DUMMYFUNCTION("""COMPUTED_VALUE"""),"Nguyễn Minh Phúc")</f>
        <v>Nguyễn Minh Phúc</v>
      </c>
      <c r="I33" s="9"/>
      <c r="J33" s="9" t="str">
        <f>IFERROR(__xludf.DUMMYFUNCTION("""COMPUTED_VALUE"""),"Ứng dụng Công nghệ XGS-PON trong Nâng cấp Mạng Truyền Dẫn VNPT")</f>
        <v>Ứng dụng Công nghệ XGS-PON trong Nâng cấp Mạng Truyền Dẫn VNPT</v>
      </c>
      <c r="K33" s="9" t="str">
        <f>IFERROR(__xludf.DUMMYFUNCTION("""COMPUTED_VALUE"""),"Ứng dụng Công nghệ XGS-PON trong nâng tốc độ đường truyền dịch vụ Internet mạng VNPT")</f>
        <v>Ứng dụng Công nghệ XGS-PON trong nâng tốc độ đường truyền dịch vụ Internet mạng VNPT</v>
      </c>
      <c r="L33" s="9" t="str">
        <f>IFERROR(__xludf.DUMMYFUNCTION("""COMPUTED_VALUE"""),"Sử dụng công nghệ Xgspon thay thế công nghệ Gpon đang sử dụng, nhằm nâng cao tốc độ đường truyền phục vụ khách hàng tốy nhất")</f>
        <v>Sử dụng công nghệ Xgspon thay thế công nghệ Gpon đang sử dụng, nhằm nâng cao tốc độ đường truyền phục vụ khách hàng tốy nhất</v>
      </c>
      <c r="M33" s="9" t="str">
        <f>IFERROR(__xludf.DUMMYFUNCTION("""COMPUTED_VALUE"""),"Chung đề tài với anh Võ Hữu Hiền")</f>
        <v>Chung đề tài với anh Võ Hữu Hiền</v>
      </c>
      <c r="N33" s="9"/>
      <c r="O33" s="9"/>
      <c r="P33" s="9"/>
      <c r="Q33" s="9" t="str">
        <f>IFERROR(__xludf.DUMMYFUNCTION("""COMPUTED_VALUE"""),"TNDHLTK24_20251001")</f>
        <v>TNDHLTK24_20251001</v>
      </c>
    </row>
    <row r="34" ht="20.25" customHeight="1">
      <c r="A34" s="10">
        <f>IFERROR(__xludf.DUMMYFUNCTION("""COMPUTED_VALUE"""),45840.7549540162)</f>
        <v>45840.75495</v>
      </c>
      <c r="B34" s="9" t="str">
        <f>IFERROR(__xludf.DUMMYFUNCTION("""COMPUTED_VALUE"""),"0olmvuao033@gmail.com")</f>
        <v>0olmvuao033@gmail.com</v>
      </c>
      <c r="C34" s="9">
        <f>IFERROR(__xludf.DUMMYFUNCTION("""COMPUTED_VALUE"""),4.2400009E8)</f>
        <v>424000090</v>
      </c>
      <c r="D34" s="9" t="str">
        <f>IFERROR(__xludf.DUMMYFUNCTION("""COMPUTED_VALUE"""),"Nguyễn Đức Toàn")</f>
        <v>Nguyễn Đức Toàn</v>
      </c>
      <c r="E34" s="9" t="str">
        <f>IFERROR(__xludf.DUMMYFUNCTION("""COMPUTED_VALUE"""),"0396374030")</f>
        <v>0396374030</v>
      </c>
      <c r="F34" s="9" t="str">
        <f>IFERROR(__xludf.DUMMYFUNCTION("""COMPUTED_VALUE"""),"24CT402")</f>
        <v>24CT402</v>
      </c>
      <c r="G34" s="9" t="str">
        <f>IFERROR(__xludf.DUMMYFUNCTION("""COMPUTED_VALUE"""),"Thực hiện đồ án tốt nghiệp")</f>
        <v>Thực hiện đồ án tốt nghiệp</v>
      </c>
      <c r="H34" s="9" t="str">
        <f>IFERROR(__xludf.DUMMYFUNCTION("""COMPUTED_VALUE"""),"Hoàng Hải Dương")</f>
        <v>Hoàng Hải Dương</v>
      </c>
      <c r="I34" s="9" t="str">
        <f>IFERROR(__xludf.DUMMYFUNCTION("""COMPUTED_VALUE"""),"Hoàng Hải Dương")</f>
        <v>Hoàng Hải Dương</v>
      </c>
      <c r="J34" s="9" t="str">
        <f>IFERROR(__xludf.DUMMYFUNCTION("""COMPUTED_VALUE"""),"Hệ thống bảo trì và quản lý các vết nứt công trình của tòa nhà")</f>
        <v>Hệ thống bảo trì và quản lý các vết nứt công trình của tòa nhà</v>
      </c>
      <c r="K34" s="9" t="str">
        <f>IFERROR(__xludf.DUMMYFUNCTION("""COMPUTED_VALUE"""),"theo dõi và quản lý các vết nứt công trình , tự động hóa quy trình giám sát bằng công nghệ thông tin 
")</f>
        <v>theo dõi và quản lý các vết nứt công trình , tự động hóa quy trình giám sát bằng công nghệ thông tin 
</v>
      </c>
      <c r="L34" s="9" t="str">
        <f>IFERROR(__xludf.DUMMYFUNCTION("""COMPUTED_VALUE"""),"Xây dựng một hệ thống theo dõi và ghi nhận các vết nứt trong công trình,Tự động hóa quá trình bảo trì công trình.,Tối ưu hóa chi phí và thời gian bảo trì")</f>
        <v>Xây dựng một hệ thống theo dõi và ghi nhận các vết nứt trong công trình,Tự động hóa quá trình bảo trì công trình.,Tối ưu hóa chi phí và thời gian bảo trì</v>
      </c>
      <c r="M34" s="9"/>
      <c r="N34" s="9"/>
      <c r="O34" s="9"/>
      <c r="P34" s="9"/>
      <c r="Q34" s="9" t="str">
        <f>IFERROR(__xludf.DUMMYFUNCTION("""COMPUTED_VALUE"""),"TNDHLTK24_20251001")</f>
        <v>TNDHLTK24_20251001</v>
      </c>
    </row>
    <row r="35" ht="20.25" customHeight="1">
      <c r="A35" s="10">
        <f>IFERROR(__xludf.DUMMYFUNCTION("""COMPUTED_VALUE"""),45840.75560576389)</f>
        <v>45840.75561</v>
      </c>
      <c r="B35" s="9" t="str">
        <f>IFERROR(__xludf.DUMMYFUNCTION("""COMPUTED_VALUE"""),"nghthaitu@gmail.com")</f>
        <v>nghthaitu@gmail.com</v>
      </c>
      <c r="C35" s="9">
        <f>IFERROR(__xludf.DUMMYFUNCTION("""COMPUTED_VALUE"""),4.24000086E8)</f>
        <v>424000086</v>
      </c>
      <c r="D35" s="9" t="str">
        <f>IFERROR(__xludf.DUMMYFUNCTION("""COMPUTED_VALUE"""),"Nguyễn Hoàng Thái Tú")</f>
        <v>Nguyễn Hoàng Thái Tú</v>
      </c>
      <c r="E35" s="9" t="str">
        <f>IFERROR(__xludf.DUMMYFUNCTION("""COMPUTED_VALUE"""),"0931553401")</f>
        <v>0931553401</v>
      </c>
      <c r="F35" s="9" t="str">
        <f>IFERROR(__xludf.DUMMYFUNCTION("""COMPUTED_VALUE"""),"24CT402")</f>
        <v>24CT402</v>
      </c>
      <c r="G35" s="9" t="str">
        <f>IFERROR(__xludf.DUMMYFUNCTION("""COMPUTED_VALUE"""),"Thực hiện đồ án tốt nghiệp")</f>
        <v>Thực hiện đồ án tốt nghiệp</v>
      </c>
      <c r="H35" s="9" t="str">
        <f>IFERROR(__xludf.DUMMYFUNCTION("""COMPUTED_VALUE"""),"Hoàng Hải Dương")</f>
        <v>Hoàng Hải Dương</v>
      </c>
      <c r="I35" s="9" t="str">
        <f>IFERROR(__xludf.DUMMYFUNCTION("""COMPUTED_VALUE"""),"Hoàng Hải Dương")</f>
        <v>Hoàng Hải Dương</v>
      </c>
      <c r="J35" s="9" t="str">
        <f>IFERROR(__xludf.DUMMYFUNCTION("""COMPUTED_VALUE"""),"Hệ thống bảo trì và quản lý các vết nứt công trình của tòa nhà")</f>
        <v>Hệ thống bảo trì và quản lý các vết nứt công trình của tòa nhà</v>
      </c>
      <c r="K35" s="9" t="str">
        <f>IFERROR(__xludf.DUMMYFUNCTION("""COMPUTED_VALUE"""),"theo dõi và quản lý các vết nứt công trình , tự động hóa quy trình giám sát bằng công nghệ thông tin ")</f>
        <v>theo dõi và quản lý các vết nứt công trình , tự động hóa quy trình giám sát bằng công nghệ thông tin </v>
      </c>
      <c r="L35" s="9" t="str">
        <f>IFERROR(__xludf.DUMMYFUNCTION("""COMPUTED_VALUE"""),"...")</f>
        <v>...</v>
      </c>
      <c r="M35" s="9"/>
      <c r="N35" s="9"/>
      <c r="O35" s="9"/>
      <c r="P35" s="9"/>
      <c r="Q35" s="9" t="str">
        <f>IFERROR(__xludf.DUMMYFUNCTION("""COMPUTED_VALUE"""),"TNDHLTK24_20251001")</f>
        <v>TNDHLTK24_20251001</v>
      </c>
    </row>
    <row r="36" ht="20.25" customHeight="1">
      <c r="A36" s="10">
        <f>IFERROR(__xludf.DUMMYFUNCTION("""COMPUTED_VALUE"""),45840.76925616898)</f>
        <v>45840.76926</v>
      </c>
      <c r="B36" s="9" t="str">
        <f>IFERROR(__xludf.DUMMYFUNCTION("""COMPUTED_VALUE"""),"ptoan6389@gmail.com")</f>
        <v>ptoan6389@gmail.com</v>
      </c>
      <c r="C36" s="9">
        <f>IFERROR(__xludf.DUMMYFUNCTION("""COMPUTED_VALUE"""),4.24000102E8)</f>
        <v>424000102</v>
      </c>
      <c r="D36" s="9" t="str">
        <f>IFERROR(__xludf.DUMMYFUNCTION("""COMPUTED_VALUE"""),"Trương Vũ Phi Long")</f>
        <v>Trương Vũ Phi Long</v>
      </c>
      <c r="E36" s="9" t="str">
        <f>IFERROR(__xludf.DUMMYFUNCTION("""COMPUTED_VALUE"""),"0399482926")</f>
        <v>0399482926</v>
      </c>
      <c r="F36" s="9" t="str">
        <f>IFERROR(__xludf.DUMMYFUNCTION("""COMPUTED_VALUE"""),"24CT402")</f>
        <v>24CT402</v>
      </c>
      <c r="G36" s="9" t="str">
        <f>IFERROR(__xludf.DUMMYFUNCTION("""COMPUTED_VALUE"""),"Thực hiện đồ án tốt nghiệp")</f>
        <v>Thực hiện đồ án tốt nghiệp</v>
      </c>
      <c r="H36" s="9" t="str">
        <f>IFERROR(__xludf.DUMMYFUNCTION("""COMPUTED_VALUE"""),"Nguyễn Minh Phúc")</f>
        <v>Nguyễn Minh Phúc</v>
      </c>
      <c r="I36" s="9" t="str">
        <f>IFERROR(__xludf.DUMMYFUNCTION("""COMPUTED_VALUE"""),"Văn Đình Vỹ Phương")</f>
        <v>Văn Đình Vỹ Phương</v>
      </c>
      <c r="J36" s="9" t="str">
        <f>IFERROR(__xludf.DUMMYFUNCTION("""COMPUTED_VALUE"""),"website")</f>
        <v>website</v>
      </c>
      <c r="K36" s="9" t="str">
        <f>IFERROR(__xludf.DUMMYFUNCTION("""COMPUTED_VALUE"""),"Xây dựng một website đơn giản nhằm rèn luyện kỹ năng lập trình web, hiểu và áp dụng HTML, CSS và JavaScript, đồng thời nắm được cách triển khai website lên máy chủ hoặc nền tảng hosting")</f>
        <v>Xây dựng một website đơn giản nhằm rèn luyện kỹ năng lập trình web, hiểu và áp dụng HTML, CSS và JavaScript, đồng thời nắm được cách triển khai website lên máy chủ hoặc nền tảng hosting</v>
      </c>
      <c r="L36" s="9" t="str">
        <f>IFERROR(__xludf.DUMMYFUNCTION("""COMPUTED_VALUE"""),"Lên ý tưởng giao diện và nội dung website")</f>
        <v>Lên ý tưởng giao diện và nội dung website</v>
      </c>
      <c r="M36" s="9"/>
      <c r="N36" s="9"/>
      <c r="O36" s="9"/>
      <c r="P36" s="9"/>
      <c r="Q36" s="9" t="str">
        <f>IFERROR(__xludf.DUMMYFUNCTION("""COMPUTED_VALUE"""),"TNDHLTK24_20251001")</f>
        <v>TNDHLTK24_20251001</v>
      </c>
    </row>
    <row r="37" ht="20.25" customHeight="1">
      <c r="A37" s="10">
        <f>IFERROR(__xludf.DUMMYFUNCTION("""COMPUTED_VALUE"""),45841.19561717592)</f>
        <v>45841.19562</v>
      </c>
      <c r="B37" s="9" t="str">
        <f>IFERROR(__xludf.DUMMYFUNCTION("""COMPUTED_VALUE"""),"lebahue73@gmail.com")</f>
        <v>lebahue73@gmail.com</v>
      </c>
      <c r="C37" s="9">
        <f>IFERROR(__xludf.DUMMYFUNCTION("""COMPUTED_VALUE"""),5.24000188E8)</f>
        <v>524000188</v>
      </c>
      <c r="D37" s="9" t="str">
        <f>IFERROR(__xludf.DUMMYFUNCTION("""COMPUTED_VALUE"""),"Lê Bá Huệ")</f>
        <v>Lê Bá Huệ</v>
      </c>
      <c r="E37" s="9" t="str">
        <f>IFERROR(__xludf.DUMMYFUNCTION("""COMPUTED_VALUE"""),"0912111079")</f>
        <v>0912111079</v>
      </c>
      <c r="F37" s="9" t="str">
        <f>IFERROR(__xludf.DUMMYFUNCTION("""COMPUTED_VALUE"""),"24CT501")</f>
        <v>24CT501</v>
      </c>
      <c r="G37" s="9" t="str">
        <f>IFERROR(__xludf.DUMMYFUNCTION("""COMPUTED_VALUE"""),"Thực hiện đồ án tốt nghiệp")</f>
        <v>Thực hiện đồ án tốt nghiệp</v>
      </c>
      <c r="H37" s="9" t="str">
        <f>IFERROR(__xludf.DUMMYFUNCTION("""COMPUTED_VALUE"""),"Văn Đình Vỹ Phương")</f>
        <v>Văn Đình Vỹ Phương</v>
      </c>
      <c r="I37" s="9"/>
      <c r="J37" s="9" t="str">
        <f>IFERROR(__xludf.DUMMYFUNCTION("""COMPUTED_VALUE"""),"Triển khai công nghệ gpon tại VNPT Đồng Nai ")</f>
        <v>Triển khai công nghệ gpon tại VNPT Đồng Nai </v>
      </c>
      <c r="K37" s="9" t="str">
        <f>IFERROR(__xludf.DUMMYFUNCTION("""COMPUTED_VALUE"""),"Cung cấp mạng phát sóng wifi cho khách hàng ")</f>
        <v>Cung cấp mạng phát sóng wifi cho khách hàng </v>
      </c>
      <c r="L37" s="9" t="str">
        <f>IFERROR(__xludf.DUMMYFUNCTION("""COMPUTED_VALUE"""),"Báo cáo tốt nghiệp ")</f>
        <v>Báo cáo tốt nghiệp </v>
      </c>
      <c r="M37" s="9"/>
      <c r="N37" s="9"/>
      <c r="O37" s="9"/>
      <c r="P37" s="9"/>
      <c r="Q37" s="9" t="str">
        <f>IFERROR(__xludf.DUMMYFUNCTION("""COMPUTED_VALUE"""),"TNDHLTK24_20251001")</f>
        <v>TNDHLTK24_20251001</v>
      </c>
    </row>
    <row r="38" ht="20.25" customHeight="1">
      <c r="A38" s="10">
        <f>IFERROR(__xludf.DUMMYFUNCTION("""COMPUTED_VALUE"""),45843.654683263885)</f>
        <v>45843.65468</v>
      </c>
      <c r="B38" s="9" t="str">
        <f>IFERROR(__xludf.DUMMYFUNCTION("""COMPUTED_VALUE"""),"vantan291203@gmail.com")</f>
        <v>vantan291203@gmail.com</v>
      </c>
      <c r="C38" s="9">
        <f>IFERROR(__xludf.DUMMYFUNCTION("""COMPUTED_VALUE"""),1.21000742E8)</f>
        <v>121000742</v>
      </c>
      <c r="D38" s="9" t="str">
        <f>IFERROR(__xludf.DUMMYFUNCTION("""COMPUTED_VALUE"""),"Nguyễn Văn Tân")</f>
        <v>Nguyễn Văn Tân</v>
      </c>
      <c r="E38" s="9" t="str">
        <f>IFERROR(__xludf.DUMMYFUNCTION("""COMPUTED_VALUE"""),"0971894098")</f>
        <v>0971894098</v>
      </c>
      <c r="F38" s="9" t="str">
        <f>IFERROR(__xludf.DUMMYFUNCTION("""COMPUTED_VALUE"""),"21CT111")</f>
        <v>21CT111</v>
      </c>
      <c r="G38" s="9" t="str">
        <f>IFERROR(__xludf.DUMMYFUNCTION("""COMPUTED_VALUE"""),"Thực hiện đồ án tốt nghiệp")</f>
        <v>Thực hiện đồ án tốt nghiệp</v>
      </c>
      <c r="H38" s="9" t="str">
        <f>IFERROR(__xludf.DUMMYFUNCTION("""COMPUTED_VALUE"""),"Nguyễn Minh Phúc")</f>
        <v>Nguyễn Minh Phúc</v>
      </c>
      <c r="I38" s="9"/>
      <c r="J38" s="9" t="str">
        <f>IFERROR(__xludf.DUMMYFUNCTION("""COMPUTED_VALUE"""),"Web đăng kí khách du lịch cho doanh nghiệp")</f>
        <v>Web đăng kí khách du lịch cho doanh nghiệp</v>
      </c>
      <c r="K38" s="9" t="str">
        <f>IFERROR(__xludf.DUMMYFUNCTION("""COMPUTED_VALUE"""),"Tối ưu hóa và tự động hóa quy trình đăng ký khách du lịch, nâng cao trải nghiệm khách hàng và hiệu quả hoạt động cho doanh nghiệp")</f>
        <v>Tối ưu hóa và tự động hóa quy trình đăng ký khách du lịch, nâng cao trải nghiệm khách hàng và hiệu quả hoạt động cho doanh nghiệp</v>
      </c>
      <c r="L38" s="9" t="str">
        <f>IFERROR(__xludf.DUMMYFUNCTION("""COMPUTED_VALUE"""),"Xây dựng giao diện thân thiện cho khách hàng để tìm kiếm, đăng ký và thanh toán trực tuyến, đồng thời phát triển hệ thống quản trị nội bộ giúp doanh nghiệp quản lý hiệu quả các đơn đăng ký, tour du lịch và thông tin khách hàng.")</f>
        <v>Xây dựng giao diện thân thiện cho khách hàng để tìm kiếm, đăng ký và thanh toán trực tuyến, đồng thời phát triển hệ thống quản trị nội bộ giúp doanh nghiệp quản lý hiệu quả các đơn đăng ký, tour du lịch và thông tin khách hàng.</v>
      </c>
      <c r="M38" s="9"/>
      <c r="N38" s="9"/>
      <c r="O38" s="9"/>
      <c r="P38" s="9"/>
      <c r="Q38" s="9" t="str">
        <f>IFERROR(__xludf.DUMMYFUNCTION("""COMPUTED_VALUE"""),"TNDHLTK24_20251001")</f>
        <v>TNDHLTK24_20251001</v>
      </c>
    </row>
    <row r="39" ht="20.25" customHeight="1">
      <c r="A39" s="10">
        <f>IFERROR(__xludf.DUMMYFUNCTION("""COMPUTED_VALUE"""),45843.860760138894)</f>
        <v>45843.86076</v>
      </c>
      <c r="B39" s="9" t="str">
        <f>IFERROR(__xludf.DUMMYFUNCTION("""COMPUTED_VALUE"""),"duykhanhnguyen519@gmail.com")</f>
        <v>duykhanhnguyen519@gmail.com</v>
      </c>
      <c r="C39" s="9">
        <f>IFERROR(__xludf.DUMMYFUNCTION("""COMPUTED_VALUE"""),1.2100036E8)</f>
        <v>121000360</v>
      </c>
      <c r="D39" s="9" t="str">
        <f>IFERROR(__xludf.DUMMYFUNCTION("""COMPUTED_VALUE"""),"Nguyễn Duy Khánh")</f>
        <v>Nguyễn Duy Khánh</v>
      </c>
      <c r="E39" s="9" t="str">
        <f>IFERROR(__xludf.DUMMYFUNCTION("""COMPUTED_VALUE"""),"0332432463")</f>
        <v>0332432463</v>
      </c>
      <c r="F39" s="9" t="str">
        <f>IFERROR(__xludf.DUMMYFUNCTION("""COMPUTED_VALUE"""),"21CT111")</f>
        <v>21CT111</v>
      </c>
      <c r="G39" s="9" t="str">
        <f>IFERROR(__xludf.DUMMYFUNCTION("""COMPUTED_VALUE"""),"Thực hiện đồ án tốt nghiệp")</f>
        <v>Thực hiện đồ án tốt nghiệp</v>
      </c>
      <c r="H39" s="9" t="str">
        <f>IFERROR(__xludf.DUMMYFUNCTION("""COMPUTED_VALUE"""),"Nguyễn Minh Phúc")</f>
        <v>Nguyễn Minh Phúc</v>
      </c>
      <c r="I39" s="9"/>
      <c r="J39" s="9" t="str">
        <f>IFERROR(__xludf.DUMMYFUNCTION("""COMPUTED_VALUE"""),"Xây dựng ứng dụng web đăng kí khách thăm quan cho doanh nghiệp ")</f>
        <v>Xây dựng ứng dụng web đăng kí khách thăm quan cho doanh nghiệp </v>
      </c>
      <c r="K39" s="9" t="str">
        <f>IFERROR(__xludf.DUMMYFUNCTION("""COMPUTED_VALUE"""),"Ứng dụng web đăng ký khách tham quan giúp doanh nghiệp hiện đại hóa quy trình tiếp đón, nâng cao hiệu quả quản lý, đảm bảo an ninh, và mang đến trải nghiệm chuyên nghiệp cho khách. Đây là giải pháp thiết thực góp phần số hóa hoạt động vận hành doanh nghiệ"&amp;"p.")</f>
        <v>Ứng dụng web đăng ký khách tham quan giúp doanh nghiệp hiện đại hóa quy trình tiếp đón, nâng cao hiệu quả quản lý, đảm bảo an ninh, và mang đến trải nghiệm chuyên nghiệp cho khách. Đây là giải pháp thiết thực góp phần số hóa hoạt động vận hành doanh nghiệp.</v>
      </c>
      <c r="L39" s="9" t="str">
        <f>IFERROR(__xludf.DUMMYFUNCTION("""COMPUTED_VALUE"""),"Khảo sát yêu cầu: Tìm hiểu quy trình tiếp đón khách và nhu cầu thực tế.
Thiết kế hệ thống: Xây dựng giao diện, sơ đồ chức năng và cơ sở dữ liệu.
Phát triển ứng dụng: Lập trình frontend, backend và xử lý dữ liệu.
Triển khai chức năng chính: Đăng ký, phê du"&amp;"yệt, thông báo và quản lý lịch tham quan.
Kiểm thử &amp; hoàn thiện: Kiểm tra lỗi, cải tiến giao diện và tối ưu hệ thống.
Triển khai sử dụng: Đưa ứng dụng vào hoạt động và hướng dẫn người dùng.")</f>
        <v>Khảo sát yêu cầu: Tìm hiểu quy trình tiếp đón khách và nhu cầu thực tế.
Thiết kế hệ thống: Xây dựng giao diện, sơ đồ chức năng và cơ sở dữ liệu.
Phát triển ứng dụng: Lập trình frontend, backend và xử lý dữ liệu.
Triển khai chức năng chính: Đăng ký, phê duyệt, thông báo và quản lý lịch tham quan.
Kiểm thử &amp; hoàn thiện: Kiểm tra lỗi, cải tiến giao diện và tối ưu hệ thống.
Triển khai sử dụng: Đưa ứng dụng vào hoạt động và hướng dẫn người dùng.</v>
      </c>
      <c r="M39" s="9"/>
      <c r="N39" s="9"/>
      <c r="O39" s="9"/>
      <c r="P39" s="9"/>
      <c r="Q39" s="9" t="str">
        <f>IFERROR(__xludf.DUMMYFUNCTION("""COMPUTED_VALUE"""),"TNDHLTK24_20251001")</f>
        <v>TNDHLTK24_20251001</v>
      </c>
    </row>
    <row r="40" ht="20.25" customHeight="1">
      <c r="A40" s="10">
        <f>IFERROR(__xludf.DUMMYFUNCTION("""COMPUTED_VALUE"""),45846.906818449075)</f>
        <v>45846.90682</v>
      </c>
      <c r="B40" s="9" t="str">
        <f>IFERROR(__xludf.DUMMYFUNCTION("""COMPUTED_VALUE"""),"xuantu.04101985@gmail.com")</f>
        <v>xuantu.04101985@gmail.com</v>
      </c>
      <c r="C40" s="9">
        <f>IFERROR(__xludf.DUMMYFUNCTION("""COMPUTED_VALUE"""),7.24000025E8)</f>
        <v>724000025</v>
      </c>
      <c r="D40" s="9" t="str">
        <f>IFERROR(__xludf.DUMMYFUNCTION("""COMPUTED_VALUE"""),"Trần Lê Xuân Tứ")</f>
        <v>Trần Lê Xuân Tứ</v>
      </c>
      <c r="E40" s="9" t="str">
        <f>IFERROR(__xludf.DUMMYFUNCTION("""COMPUTED_VALUE"""),"0919041085")</f>
        <v>0919041085</v>
      </c>
      <c r="F40" s="9" t="str">
        <f>IFERROR(__xludf.DUMMYFUNCTION("""COMPUTED_VALUE"""),"24CT702")</f>
        <v>24CT702</v>
      </c>
      <c r="G40" s="9" t="str">
        <f>IFERROR(__xludf.DUMMYFUNCTION("""COMPUTED_VALUE"""),"Thực hiện đồ án tốt nghiệp")</f>
        <v>Thực hiện đồ án tốt nghiệp</v>
      </c>
      <c r="H40" s="9" t="str">
        <f>IFERROR(__xludf.DUMMYFUNCTION("""COMPUTED_VALUE"""),"Hoàng Hải Dương")</f>
        <v>Hoàng Hải Dương</v>
      </c>
      <c r="I40" s="9" t="str">
        <f>IFERROR(__xludf.DUMMYFUNCTION("""COMPUTED_VALUE"""),"Hoàng Hải Dương")</f>
        <v>Hoàng Hải Dương</v>
      </c>
      <c r="J40" s="9" t="str">
        <f>IFERROR(__xludf.DUMMYFUNCTION("""COMPUTED_VALUE"""),"Xây dựng website luyện tập toán cho hs lớp 5 với hình thức trắc nghiệm")</f>
        <v>Xây dựng website luyện tập toán cho hs lớp 5 với hình thức trắc nghiệm</v>
      </c>
      <c r="K40" s="9" t="str">
        <f>IFERROR(__xludf.DUMMYFUNCTION("""COMPUTED_VALUE"""),"Xây dựng một website luyện tập toán học dành cho học sinh lớp 5 với dạng bài tập trắc nghiệm đa lựa chọn.")</f>
        <v>Xây dựng một website luyện tập toán học dành cho học sinh lớp 5 với dạng bài tập trắc nghiệm đa lựa chọn.</v>
      </c>
      <c r="L40" s="9" t="str">
        <f>IFERROR(__xludf.DUMMYFUNCTION("""COMPUTED_VALUE"""),"Thiết kế giao diện (Frontend)
Trang chủ: Giới thiệu, hướng dẫn sử dụng.
Trang đăng nhập/đăng ký: Phân biệt học sinh, giáo viên, phụ huynh.
Trang luyện tập: Hiển thị câu hỏi trắc nghiệm từng bài hoặc từng chủ đề.
Trang kết quả: Hiển thị điểm số, câu trả"&amp;" lời đúng/sai, thời gian làm bài.
Trang quản lý: (dành cho giáo viên) để thêm, sửa, xóa câu hỏi.
Trang thống kê: (dành cho giáo viên và phụ huynh) xem tiến độ và kết quả học tập.
Thiết kế hệ thống cơ sở dữ liệu (Backend)
Bảng Người dùng: thông tin học "&amp;"sinh, giáo viên, phụ huynh.
Bảng Câu hỏi: chứa câu hỏi, các lựa chọn, đáp án đúng, chủ đề, độ khó.
Bảng Bài tập: nhóm câu hỏi thành từng bài hoặc chủ đề.
Bảng Kết quả làm bài: lưu trữ kết quả làm bài của học sinh.
Các bảng khác hỗ trợ quản lý (như phâ"&amp;"n quyền, lịch sử hoạt động).")</f>
        <v>Thiết kế giao diện (Frontend)
Trang chủ: Giới thiệu, hướng dẫn sử dụng.
Trang đăng nhập/đăng ký: Phân biệt học sinh, giáo viên, phụ huynh.
Trang luyện tập: Hiển thị câu hỏi trắc nghiệm từng bài hoặc từng chủ đề.
Trang kết quả: Hiển thị điểm số, câu trả lời đúng/sai, thời gian làm bài.
Trang quản lý: (dành cho giáo viên) để thêm, sửa, xóa câu hỏi.
Trang thống kê: (dành cho giáo viên và phụ huynh) xem tiến độ và kết quả học tập.
Thiết kế hệ thống cơ sở dữ liệu (Backend)
Bảng Người dùng: thông tin học sinh, giáo viên, phụ huynh.
Bảng Câu hỏi: chứa câu hỏi, các lựa chọn, đáp án đúng, chủ đề, độ khó.
Bảng Bài tập: nhóm câu hỏi thành từng bài hoặc chủ đề.
Bảng Kết quả làm bài: lưu trữ kết quả làm bài của học sinh.
Các bảng khác hỗ trợ quản lý (như phân quyền, lịch sử hoạt động).</v>
      </c>
      <c r="M40" s="9"/>
      <c r="N40" s="9"/>
      <c r="O40" s="9"/>
      <c r="P40" s="9"/>
      <c r="Q40" s="9" t="str">
        <f>IFERROR(__xludf.DUMMYFUNCTION("""COMPUTED_VALUE"""),"TNDHLTK24_20251001")</f>
        <v>TNDHLTK24_20251001</v>
      </c>
    </row>
    <row r="41" ht="20.25" customHeight="1">
      <c r="A41" s="10">
        <f>IFERROR(__xludf.DUMMYFUNCTION("""COMPUTED_VALUE"""),45847.50731339121)</f>
        <v>45847.50731</v>
      </c>
      <c r="B41" s="9" t="str">
        <f>IFERROR(__xludf.DUMMYFUNCTION("""COMPUTED_VALUE"""),"phuc@lhu.edu.vn")</f>
        <v>phuc@lhu.edu.vn</v>
      </c>
      <c r="C41" s="9">
        <f>IFERROR(__xludf.DUMMYFUNCTION("""COMPUTED_VALUE"""),1.1900006E8)</f>
        <v>119000060</v>
      </c>
      <c r="D41" s="9" t="str">
        <f>IFERROR(__xludf.DUMMYFUNCTION("""COMPUTED_VALUE"""),"Đỗ Thành Trung")</f>
        <v>Đỗ Thành Trung</v>
      </c>
      <c r="E41" s="9" t="str">
        <f>IFERROR(__xludf.DUMMYFUNCTION("""COMPUTED_VALUE"""),"0845945539")</f>
        <v>0845945539</v>
      </c>
      <c r="F41" s="9" t="str">
        <f>IFERROR(__xludf.DUMMYFUNCTION("""COMPUTED_VALUE"""),"19CT112")</f>
        <v>19CT112</v>
      </c>
      <c r="G41" s="9" t="str">
        <f>IFERROR(__xludf.DUMMYFUNCTION("""COMPUTED_VALUE"""),"Thực hiện đồ án tốt nghiệp")</f>
        <v>Thực hiện đồ án tốt nghiệp</v>
      </c>
      <c r="H41" s="9" t="str">
        <f>IFERROR(__xludf.DUMMYFUNCTION("""COMPUTED_VALUE"""),"Nguyễn Minh Phúc")</f>
        <v>Nguyễn Minh Phúc</v>
      </c>
      <c r="I41" s="9"/>
      <c r="J41" s="9" t="str">
        <f>IFERROR(__xludf.DUMMYFUNCTION("""COMPUTED_VALUE"""),"Phần mềm quản lý....")</f>
        <v>Phần mềm quản lý....</v>
      </c>
      <c r="K41" s="9" t="str">
        <f>IFERROR(__xludf.DUMMYFUNCTION("""COMPUTED_VALUE"""),"Xây dựng phần mềm quản lý....")</f>
        <v>Xây dựng phần mềm quản lý....</v>
      </c>
      <c r="L41" s="9" t="str">
        <f>IFERROR(__xludf.DUMMYFUNCTION("""COMPUTED_VALUE"""),"Các bước thực hiện đề tài quản lý ....")</f>
        <v>Các bước thực hiện đề tài quản lý ....</v>
      </c>
      <c r="M41" s="9" t="str">
        <f>IFERROR(__xludf.DUMMYFUNCTION("""COMPUTED_VALUE"""),"Báo cáo lại sinh viên khóa 19")</f>
        <v>Báo cáo lại sinh viên khóa 19</v>
      </c>
      <c r="N41" s="9"/>
      <c r="O41" s="9"/>
      <c r="P41" s="9"/>
      <c r="Q41" s="9" t="str">
        <f>IFERROR(__xludf.DUMMYFUNCTION("""COMPUTED_VALUE"""),"TNDHLTK24_20251001")</f>
        <v>TNDHLTK24_20251001</v>
      </c>
    </row>
    <row r="42" ht="20.25" customHeight="1">
      <c r="A42" s="10">
        <f>IFERROR(__xludf.DUMMYFUNCTION("""COMPUTED_VALUE"""),45850.63191685185)</f>
        <v>45850.63192</v>
      </c>
      <c r="B42" s="9" t="str">
        <f>IFERROR(__xludf.DUMMYFUNCTION("""COMPUTED_VALUE"""),"waxxu666@gmail.com")</f>
        <v>waxxu666@gmail.com</v>
      </c>
      <c r="C42" s="9">
        <f>IFERROR(__xludf.DUMMYFUNCTION("""COMPUTED_VALUE"""),5.24000182E8)</f>
        <v>524000182</v>
      </c>
      <c r="D42" s="9" t="str">
        <f>IFERROR(__xludf.DUMMYFUNCTION("""COMPUTED_VALUE"""),"Nguyễn Trọng Thanh")</f>
        <v>Nguyễn Trọng Thanh</v>
      </c>
      <c r="E42" s="9" t="str">
        <f>IFERROR(__xludf.DUMMYFUNCTION("""COMPUTED_VALUE"""),"0367817000")</f>
        <v>0367817000</v>
      </c>
      <c r="F42" s="9" t="str">
        <f>IFERROR(__xludf.DUMMYFUNCTION("""COMPUTED_VALUE"""),"24CT501")</f>
        <v>24CT501</v>
      </c>
      <c r="G42" s="9" t="str">
        <f>IFERROR(__xludf.DUMMYFUNCTION("""COMPUTED_VALUE"""),"Thực hiện đồ án tốt nghiệp")</f>
        <v>Thực hiện đồ án tốt nghiệp</v>
      </c>
      <c r="H42" s="9" t="str">
        <f>IFERROR(__xludf.DUMMYFUNCTION("""COMPUTED_VALUE"""),"Hồ Ngọc Hoàng Long")</f>
        <v>Hồ Ngọc Hoàng Long</v>
      </c>
      <c r="I42" s="9" t="str">
        <f>IFERROR(__xludf.DUMMYFUNCTION("""COMPUTED_VALUE"""),"Hồ Ngọc Hoàng Long")</f>
        <v>Hồ Ngọc Hoàng Long</v>
      </c>
      <c r="J42" s="9" t="str">
        <f>IFERROR(__xludf.DUMMYFUNCTION("""COMPUTED_VALUE"""),"Xây dựng hệ thống web quản lý công việc và chấm công cho doanh nghiệp vừa và nhỏ")</f>
        <v>Xây dựng hệ thống web quản lý công việc và chấm công cho doanh nghiệp vừa và nhỏ</v>
      </c>
      <c r="K42" s="9" t="str">
        <f>IFERROR(__xludf.DUMMYFUNCTION("""COMPUTED_VALUE"""),"Thiết kế và xây dựng hệ thống web:
Quản lý công việc theo phòng ban, nhân sự.
Chấm công hằng ngày (check-in/check-out).
Thống kê và báo cáo công việc, thời gian làm việc.
Đảm bảo giao diện thân thiện, dễ sử dụng.
Có thể triển khai sử dụng thật tại doanh n"&amp;"ghiệp nhỏ.")</f>
        <v>Thiết kế và xây dựng hệ thống web:
Quản lý công việc theo phòng ban, nhân sự.
Chấm công hằng ngày (check-in/check-out).
Thống kê và báo cáo công việc, thời gian làm việc.
Đảm bảo giao diện thân thiện, dễ sử dụng.
Có thể triển khai sử dụng thật tại doanh nghiệp nhỏ.</v>
      </c>
      <c r="L42" s="9" t="str">
        <f>IFERROR(__xludf.DUMMYFUNCTION("""COMPUTED_VALUE"""),"Chương 1: Giới thiệu đề tài
Lý do chọn đề tài
Mục tiêu, phạm vi và ý nghĩa thực tiễn
Chương 2: Cơ sở lý thuyết và công nghệ
Mô hình MVC
Kiến trúc client-server
RESTful API
Công nghệ ReactJS, NodeJS, MySQL
Chương 3: Phân tích và thiết kế hệ thống
Khả"&amp;"o sát thực tế nhu cầu
Biểu đồ Use Case
Biểu đồ hoạt động (Activity Diagram)
Mô hình ERD và cơ sở dữ liệu
Chương 4: Cài đặt và triển khai hệ thống
Giao diện người dùng (UI)
Mô tả các chức năng đã xây dựng
Kết quả kiểm thử hệ thống
Chương 5: Đánh giá"&amp;" và hướng phát triển
Đánh giá kết quả thực hiện
Hạn chế
Hướng phát triển tương lai (mobile app, nhận diện khuôn mặt,...)")</f>
        <v>Chương 1: Giới thiệu đề tài
Lý do chọn đề tài
Mục tiêu, phạm vi và ý nghĩa thực tiễn
Chương 2: Cơ sở lý thuyết và công nghệ
Mô hình MVC
Kiến trúc client-server
RESTful API
Công nghệ ReactJS, NodeJS, MySQL
Chương 3: Phân tích và thiết kế hệ thống
Khảo sát thực tế nhu cầu
Biểu đồ Use Case
Biểu đồ hoạt động (Activity Diagram)
Mô hình ERD và cơ sở dữ liệu
Chương 4: Cài đặt và triển khai hệ thống
Giao diện người dùng (UI)
Mô tả các chức năng đã xây dựng
Kết quả kiểm thử hệ thống
Chương 5: Đánh giá và hướng phát triển
Đánh giá kết quả thực hiện
Hạn chế
Hướng phát triển tương lai (mobile app, nhận diện khuôn mặt,...)</v>
      </c>
      <c r="M42" s="9"/>
      <c r="N42" s="9"/>
      <c r="O42" s="9"/>
      <c r="P42" s="9"/>
      <c r="Q42" s="9" t="str">
        <f>IFERROR(__xludf.DUMMYFUNCTION("""COMPUTED_VALUE"""),"TNDHLTK24_20251001")</f>
        <v>TNDHLTK24_20251001</v>
      </c>
    </row>
    <row r="43" ht="20.25" customHeight="1">
      <c r="A43" s="10">
        <f>IFERROR(__xludf.DUMMYFUNCTION("""COMPUTED_VALUE"""),45895.60891385417)</f>
        <v>45895.60891</v>
      </c>
      <c r="B43" s="9" t="str">
        <f>IFERROR(__xludf.DUMMYFUNCTION("""COMPUTED_VALUE"""),"khanghuy082000@gmail.com")</f>
        <v>khanghuy082000@gmail.com</v>
      </c>
      <c r="C43" s="9">
        <f>IFERROR(__xludf.DUMMYFUNCTION("""COMPUTED_VALUE"""),1.18000694E8)</f>
        <v>118000694</v>
      </c>
      <c r="D43" s="9" t="str">
        <f>IFERROR(__xludf.DUMMYFUNCTION("""COMPUTED_VALUE"""),"Phùng akhang Huy")</f>
        <v>Phùng akhang Huy</v>
      </c>
      <c r="E43" s="9" t="str">
        <f>IFERROR(__xludf.DUMMYFUNCTION("""COMPUTED_VALUE"""),"0362735686")</f>
        <v>0362735686</v>
      </c>
      <c r="F43" s="9" t="str">
        <f>IFERROR(__xludf.DUMMYFUNCTION("""COMPUTED_VALUE"""),"18CT111")</f>
        <v>18CT111</v>
      </c>
      <c r="G43" s="9" t="str">
        <f>IFERROR(__xludf.DUMMYFUNCTION("""COMPUTED_VALUE"""),"Thực hiện đồ án tốt nghiệp")</f>
        <v>Thực hiện đồ án tốt nghiệp</v>
      </c>
      <c r="H43" s="9" t="str">
        <f>IFERROR(__xludf.DUMMYFUNCTION("""COMPUTED_VALUE"""),"Hồ Ngọc Hoàng Long")</f>
        <v>Hồ Ngọc Hoàng Long</v>
      </c>
      <c r="I43" s="9" t="str">
        <f>IFERROR(__xludf.DUMMYFUNCTION("""COMPUTED_VALUE"""),"Hồ Ngọc Hoàng Long")</f>
        <v>Hồ Ngọc Hoàng Long</v>
      </c>
      <c r="J43" s="9" t="str">
        <f>IFERROR(__xludf.DUMMYFUNCTION("""COMPUTED_VALUE"""),"Hệ Thống IoT Cho Vườn Thanh Long")</f>
        <v>Hệ Thống IoT Cho Vườn Thanh Long</v>
      </c>
      <c r="K43" s="9" t="str">
        <f>IFERROR(__xludf.DUMMYFUNCTION("""COMPUTED_VALUE"""),"Tối ưu hệ thống chiếu sáng tiết kiệm chi phí đầu tư nhưng vẫn đạt hiệu quả cao")</f>
        <v>Tối ưu hệ thống chiếu sáng tiết kiệm chi phí đầu tư nhưng vẫn đạt hiệu quả cao</v>
      </c>
      <c r="L43" s="9" t="str">
        <f>IFERROR(__xludf.DUMMYFUNCTION("""COMPUTED_VALUE"""),"Xây dựng 1 thiết bị IoT có thể điều khiển kiểm soát hệ thống chiếu sáng vườn thanh long. Có khả năng điều khiển từ xa và chạy tự động theo lịch trình thời tiết được định sẵn")</f>
        <v>Xây dựng 1 thiết bị IoT có thể điều khiển kiểm soát hệ thống chiếu sáng vườn thanh long. Có khả năng điều khiển từ xa và chạy tự động theo lịch trình thời tiết được định sẵn</v>
      </c>
      <c r="M43" s="9"/>
      <c r="N43" s="9"/>
      <c r="O43" s="9"/>
      <c r="P43" s="9"/>
      <c r="Q43" s="9" t="str">
        <f>IFERROR(__xludf.DUMMYFUNCTION("""COMPUTED_VALUE"""),"TNDHLTK24_20251001")</f>
        <v>TNDHLTK24_20251001</v>
      </c>
    </row>
    <row r="44" ht="20.25" customHeight="1">
      <c r="A44" s="10">
        <f>IFERROR(__xludf.DUMMYFUNCTION("""COMPUTED_VALUE"""),45925.37314178241)</f>
        <v>45925.37314</v>
      </c>
      <c r="B44" s="9" t="str">
        <f>IFERROR(__xludf.DUMMYFUNCTION("""COMPUTED_VALUE"""),"jumplylion@gmail.com")</f>
        <v>jumplylion@gmail.com</v>
      </c>
      <c r="C44" s="9">
        <f>IFERROR(__xludf.DUMMYFUNCTION("""COMPUTED_VALUE"""),1.16000667E8)</f>
        <v>116000667</v>
      </c>
      <c r="D44" s="9" t="str">
        <f>IFERROR(__xludf.DUMMYFUNCTION("""COMPUTED_VALUE"""),"Nguyễn Trần Tiến")</f>
        <v>Nguyễn Trần Tiến</v>
      </c>
      <c r="E44" s="9" t="str">
        <f>IFERROR(__xludf.DUMMYFUNCTION("""COMPUTED_VALUE"""),"0889663468")</f>
        <v>0889663468</v>
      </c>
      <c r="F44" s="9" t="str">
        <f>IFERROR(__xludf.DUMMYFUNCTION("""COMPUTED_VALUE"""),"16SE111")</f>
        <v>16SE111</v>
      </c>
      <c r="G44" s="9" t="str">
        <f>IFERROR(__xludf.DUMMYFUNCTION("""COMPUTED_VALUE"""),"Thực hiện đồ án tốt nghiệp")</f>
        <v>Thực hiện đồ án tốt nghiệp</v>
      </c>
      <c r="H44" s="9" t="str">
        <f>IFERROR(__xludf.DUMMYFUNCTION("""COMPUTED_VALUE"""),"Bùi Thị Thu Trang")</f>
        <v>Bùi Thị Thu Trang</v>
      </c>
      <c r="I44" s="9"/>
      <c r="J44" s="9" t="str">
        <f>IFERROR(__xludf.DUMMYFUNCTION("""COMPUTED_VALUE"""),"HỆ THỐNG QUẢN LÝ KHÁCH HÀNG VÀ PHÂN PHỐI BÁN HÀNG")</f>
        <v>HỆ THỐNG QUẢN LÝ KHÁCH HÀNG VÀ PHÂN PHỐI BÁN HÀNG</v>
      </c>
      <c r="K44" s="9" t="str">
        <f>IFERROR(__xludf.DUMMYFUNCTION("""COMPUTED_VALUE"""),"Mục tiêu là tối ưu hoá quy trình quản lý đơn hàng và cải thiện quản lý")</f>
        <v>Mục tiêu là tối ưu hoá quy trình quản lý đơn hàng và cải thiện quản lý</v>
      </c>
      <c r="L44" s="9" t="str">
        <f>IFERROR(__xludf.DUMMYFUNCTION("""COMPUTED_VALUE"""),"Thiết kế website hệ thống quản lý khách hàng và phân phối đơn hàng")</f>
        <v>Thiết kế website hệ thống quản lý khách hàng và phân phối đơn hàng</v>
      </c>
      <c r="M44" s="9"/>
      <c r="N44" s="9"/>
      <c r="O44" s="9"/>
      <c r="P44" s="9"/>
      <c r="Q44" s="9" t="str">
        <f>IFERROR(__xludf.DUMMYFUNCTION("""COMPUTED_VALUE"""),"TNDHLTK24_20251001")</f>
        <v>TNDHLTK24_20251001</v>
      </c>
    </row>
    <row r="45">
      <c r="A45" s="10">
        <f>IFERROR(__xludf.DUMMYFUNCTION("""COMPUTED_VALUE"""),46016.393675960644)</f>
        <v>46016.39368</v>
      </c>
      <c r="B45" s="9" t="str">
        <f>IFERROR(__xludf.DUMMYFUNCTION("""COMPUTED_VALUE"""),"debeare444@gmail.com")</f>
        <v>debeare444@gmail.com</v>
      </c>
      <c r="C45" s="9">
        <f>IFERROR(__xludf.DUMMYFUNCTION("""COMPUTED_VALUE"""),1.22001545E8)</f>
        <v>122001545</v>
      </c>
      <c r="D45" s="9" t="str">
        <f>IFERROR(__xludf.DUMMYFUNCTION("""COMPUTED_VALUE"""),"Lê Đức Huy")</f>
        <v>Lê Đức Huy</v>
      </c>
      <c r="E45" s="9" t="str">
        <f>IFERROR(__xludf.DUMMYFUNCTION("""COMPUTED_VALUE"""),"0389255416")</f>
        <v>0389255416</v>
      </c>
      <c r="F45" s="9" t="str">
        <f>IFERROR(__xludf.DUMMYFUNCTION("""COMPUTED_VALUE"""),"22CT114")</f>
        <v>22CT114</v>
      </c>
      <c r="G45" s="9" t="str">
        <f>IFERROR(__xludf.DUMMYFUNCTION("""COMPUTED_VALUE"""),"Thực hiện đồ án tốt nghiệp")</f>
        <v>Thực hiện đồ án tốt nghiệp</v>
      </c>
      <c r="H45" s="9" t="str">
        <f>IFERROR(__xludf.DUMMYFUNCTION("""COMPUTED_VALUE"""),"Bùi Xuân Cảnh")</f>
        <v>Bùi Xuân Cảnh</v>
      </c>
      <c r="I45" s="9"/>
      <c r="J45" s="9" t="str">
        <f>IFERROR(__xludf.DUMMYFUNCTION("""COMPUTED_VALUE"""),"Wed quản lý tài chính và gợi ý tiết kiệm")</f>
        <v>Wed quản lý tài chính và gợi ý tiết kiệm</v>
      </c>
      <c r="K45" s="9" t="str">
        <f>IFERROR(__xludf.DUMMYFUNCTION("""COMPUTED_VALUE"""),"Giúp người dùng kiểm soát chi tiêu và tiết kiệm hiệu quả hơn dựa trên dữ liệu tài chính cá nhân và đưa ra gợi ý tiết kiệm phù hợp với thói quen chi tiêu của từng người dùng.")</f>
        <v>Giúp người dùng kiểm soát chi tiêu và tiết kiệm hiệu quả hơn dựa trên dữ liệu tài chính cá nhân và đưa ra gợi ý tiết kiệm phù hợp với thói quen chi tiêu của từng người dùng.</v>
      </c>
      <c r="L45" s="9" t="str">
        <f>IFERROR(__xludf.DUMMYFUNCTION("""COMPUTED_VALUE"""),"Thực hiện hoàn thành api cho web và điều chỉnh lại ui theo những gì giáo viên gợi ý")</f>
        <v>Thực hiện hoàn thành api cho web và điều chỉnh lại ui theo những gì giáo viên gợi ý</v>
      </c>
      <c r="M45" s="9"/>
      <c r="N45" s="9"/>
      <c r="O45" s="9"/>
      <c r="P45" s="9"/>
      <c r="Q45" s="9" t="str">
        <f>IFERROR(__xludf.DUMMYFUNCTION("""COMPUTED_VALUE"""),"TNDHLTK22_202610515")</f>
        <v>TNDHLTK22_202610515</v>
      </c>
    </row>
    <row r="46" ht="18.75" customHeight="1">
      <c r="A46" s="10">
        <f>IFERROR(__xludf.DUMMYFUNCTION("""COMPUTED_VALUE"""),46016.40885591436)</f>
        <v>46016.40886</v>
      </c>
      <c r="B46" s="9" t="str">
        <f>IFERROR(__xludf.DUMMYFUNCTION("""COMPUTED_VALUE"""),"ohmaichuoi08@gmail.com")</f>
        <v>ohmaichuoi08@gmail.com</v>
      </c>
      <c r="C46" s="9">
        <f>IFERROR(__xludf.DUMMYFUNCTION("""COMPUTED_VALUE"""),1.22000843E8)</f>
        <v>122000843</v>
      </c>
      <c r="D46" s="9" t="str">
        <f>IFERROR(__xludf.DUMMYFUNCTION("""COMPUTED_VALUE"""),"Nguyễn Huy Quang")</f>
        <v>Nguyễn Huy Quang</v>
      </c>
      <c r="E46" s="9" t="str">
        <f>IFERROR(__xludf.DUMMYFUNCTION("""COMPUTED_VALUE"""),"0588845537")</f>
        <v>0588845537</v>
      </c>
      <c r="F46" s="9" t="str">
        <f>IFERROR(__xludf.DUMMYFUNCTION("""COMPUTED_VALUE"""),"22CT112")</f>
        <v>22CT112</v>
      </c>
      <c r="G46" s="9" t="str">
        <f>IFERROR(__xludf.DUMMYFUNCTION("""COMPUTED_VALUE"""),"Thực hiện đồ án tốt nghiệp")</f>
        <v>Thực hiện đồ án tốt nghiệp</v>
      </c>
      <c r="H46" s="9" t="str">
        <f>IFERROR(__xludf.DUMMYFUNCTION("""COMPUTED_VALUE"""),"Nguyễn Minh Phúc")</f>
        <v>Nguyễn Minh Phúc</v>
      </c>
      <c r="I46" s="9"/>
      <c r="J46" s="9" t="str">
        <f>IFERROR(__xludf.DUMMYFUNCTION("""COMPUTED_VALUE"""),"XÂY DỰNG DASHBOARD CÁ NHÂN HÓA CHO SINH VIÊN TRÊN HỆ THỐNG QUẢN LÝ HỌC TẬP (LMS)")</f>
        <v>XÂY DỰNG DASHBOARD CÁ NHÂN HÓA CHO SINH VIÊN TRÊN HỆ THỐNG QUẢN LÝ HỌC TẬP (LMS)</v>
      </c>
      <c r="K46" s="9" t="str">
        <f>IFERROR(__xludf.DUMMYFUNCTION("""COMPUTED_VALUE"""),"Xây dựng hệ thống dashboard theo dõi tiến độ học tập theo thời gian thực
Phát triển hệ thống gợi ý bài tập cá nhân hóa dựa trên năng lực sinh viên
Tích hợp AI hỗ trợ chấm điểm và feedback tự động (công cụ hỗ trợ, không thay thế đánh giá truyền thống)
Xây "&amp;"dựng hệ thống phân tích và đánh giá kỹ năng mềm
Phát triển hệ thống cảnh báo sớm sinh viên có nguy cơ học kém")</f>
        <v>Xây dựng hệ thống dashboard theo dõi tiến độ học tập theo thời gian thực
Phát triển hệ thống gợi ý bài tập cá nhân hóa dựa trên năng lực sinh viên
Tích hợp AI hỗ trợ chấm điểm và feedback tự động (công cụ hỗ trợ, không thay thế đánh giá truyền thống)
Xây dựng hệ thống phân tích và đánh giá kỹ năng mềm
Phát triển hệ thống cảnh báo sớm sinh viên có nguy cơ học kém</v>
      </c>
      <c r="L46" s="9" t="str">
        <f>IFERROR(__xludf.DUMMYFUNCTION("""COMPUTED_VALUE"""),"Xây dựng hệ thống dashboard theo dõi tiến độ học tập theo thời gian thực
Phát triển hệ thống gợi ý bài tập cá nhân hóa dựa trên năng lực sinh viên
Tích hợp AI hỗ trợ chấm điểm và feedback tự động (công cụ hỗ trợ, không thay thế đánh giá truyền thống)
Xây "&amp;"dựng hệ thống phân tích và đánh giá kỹ năng mềm
Phát triển hệ thống cảnh báo sớm sinh viên có nguy cơ học kém
")</f>
        <v>Xây dựng hệ thống dashboard theo dõi tiến độ học tập theo thời gian thực
Phát triển hệ thống gợi ý bài tập cá nhân hóa dựa trên năng lực sinh viên
Tích hợp AI hỗ trợ chấm điểm và feedback tự động (công cụ hỗ trợ, không thay thế đánh giá truyền thống)
Xây dựng hệ thống phân tích và đánh giá kỹ năng mềm
Phát triển hệ thống cảnh báo sớm sinh viên có nguy cơ học kém
</v>
      </c>
      <c r="M46" s="9"/>
      <c r="N46" s="9"/>
      <c r="O46" s="9"/>
      <c r="P46" s="9"/>
      <c r="Q46" s="9" t="str">
        <f>IFERROR(__xludf.DUMMYFUNCTION("""COMPUTED_VALUE"""),"TNDHLTK22_202610515")</f>
        <v>TNDHLTK22_202610515</v>
      </c>
    </row>
    <row r="47">
      <c r="A47" s="10">
        <f>IFERROR(__xludf.DUMMYFUNCTION("""COMPUTED_VALUE"""),46016.41000592592)</f>
        <v>46016.41001</v>
      </c>
      <c r="B47" s="9" t="str">
        <f>IFERROR(__xludf.DUMMYFUNCTION("""COMPUTED_VALUE"""),"nkhoi1383@gmail.com")</f>
        <v>nkhoi1383@gmail.com</v>
      </c>
      <c r="C47" s="9">
        <f>IFERROR(__xludf.DUMMYFUNCTION("""COMPUTED_VALUE"""),1.22001502E8)</f>
        <v>122001502</v>
      </c>
      <c r="D47" s="9" t="str">
        <f>IFERROR(__xludf.DUMMYFUNCTION("""COMPUTED_VALUE"""),"Nguyễn Minh Khôi")</f>
        <v>Nguyễn Minh Khôi</v>
      </c>
      <c r="E47" s="9" t="str">
        <f>IFERROR(__xludf.DUMMYFUNCTION("""COMPUTED_VALUE"""),"0978244042")</f>
        <v>0978244042</v>
      </c>
      <c r="F47" s="9" t="str">
        <f>IFERROR(__xludf.DUMMYFUNCTION("""COMPUTED_VALUE"""),"22CT115")</f>
        <v>22CT115</v>
      </c>
      <c r="G47" s="9" t="str">
        <f>IFERROR(__xludf.DUMMYFUNCTION("""COMPUTED_VALUE"""),"Đặc cách tốt nghiệp")</f>
        <v>Đặc cách tốt nghiệp</v>
      </c>
      <c r="H47" s="9" t="str">
        <f>IFERROR(__xludf.DUMMYFUNCTION("""COMPUTED_VALUE"""),"Đặc cách tốt nghiệp")</f>
        <v>Đặc cách tốt nghiệp</v>
      </c>
      <c r="I47" s="9"/>
      <c r="J47" s="9"/>
      <c r="K47" s="9"/>
      <c r="L47" s="9"/>
      <c r="M47" s="9"/>
      <c r="N47" s="9" t="str">
        <f>IFERROR(__xludf.DUMMYFUNCTION("""COMPUTED_VALUE""")," Đang đợi kết quả xét đặc cách")</f>
        <v> Đang đợi kết quả xét đặc cách</v>
      </c>
      <c r="O47" s="9">
        <f>IFERROR(__xludf.DUMMYFUNCTION("""COMPUTED_VALUE"""),8.0)</f>
        <v>8</v>
      </c>
      <c r="P47" s="11" t="str">
        <f>IFERROR(__xludf.DUMMYFUNCTION("""COMPUTED_VALUE"""),"https://drive.google.com/open?id=1YAhusFmQhshhGs1_-B0-1bl60g5yFswD")</f>
        <v>https://drive.google.com/open?id=1YAhusFmQhshhGs1_-B0-1bl60g5yFswD</v>
      </c>
      <c r="Q47" s="9" t="str">
        <f>IFERROR(__xludf.DUMMYFUNCTION("""COMPUTED_VALUE"""),"TNDHLTK22_202610515")</f>
        <v>TNDHLTK22_202610515</v>
      </c>
    </row>
    <row r="48">
      <c r="A48" s="10">
        <f>IFERROR(__xludf.DUMMYFUNCTION("""COMPUTED_VALUE"""),46016.41685952546)</f>
        <v>46016.41686</v>
      </c>
      <c r="B48" s="9" t="str">
        <f>IFERROR(__xludf.DUMMYFUNCTION("""COMPUTED_VALUE"""),"nguyen03012004@gmail.com")</f>
        <v>nguyen03012004@gmail.com</v>
      </c>
      <c r="C48" s="9">
        <f>IFERROR(__xludf.DUMMYFUNCTION("""COMPUTED_VALUE"""),1.22001389E8)</f>
        <v>122001389</v>
      </c>
      <c r="D48" s="9" t="str">
        <f>IFERROR(__xludf.DUMMYFUNCTION("""COMPUTED_VALUE"""),"Tạ Hảo Nguyên")</f>
        <v>Tạ Hảo Nguyên</v>
      </c>
      <c r="E48" s="9" t="str">
        <f>IFERROR(__xludf.DUMMYFUNCTION("""COMPUTED_VALUE"""),"0971420301")</f>
        <v>0971420301</v>
      </c>
      <c r="F48" s="9" t="str">
        <f>IFERROR(__xludf.DUMMYFUNCTION("""COMPUTED_VALUE"""),"22CT115")</f>
        <v>22CT115</v>
      </c>
      <c r="G48" s="9" t="str">
        <f>IFERROR(__xludf.DUMMYFUNCTION("""COMPUTED_VALUE"""),"Đặc cách tốt nghiệp")</f>
        <v>Đặc cách tốt nghiệp</v>
      </c>
      <c r="H48" s="9" t="str">
        <f>IFERROR(__xludf.DUMMYFUNCTION("""COMPUTED_VALUE"""),"Đặc cách tốt nghiệp")</f>
        <v>Đặc cách tốt nghiệp</v>
      </c>
      <c r="I48" s="9"/>
      <c r="J48" s="9"/>
      <c r="K48" s="9"/>
      <c r="L48" s="9"/>
      <c r="M48" s="9"/>
      <c r="N48" s="9" t="str">
        <f>IFERROR(__xludf.DUMMYFUNCTION("""COMPUTED_VALUE"""),"Đi thi robocon 2024, vào vòng 1/16, đã có điểm trên ME")</f>
        <v>Đi thi robocon 2024, vào vòng 1/16, đã có điểm trên ME</v>
      </c>
      <c r="O48" s="9">
        <f>IFERROR(__xludf.DUMMYFUNCTION("""COMPUTED_VALUE"""),9.0)</f>
        <v>9</v>
      </c>
      <c r="P48" s="11" t="str">
        <f>IFERROR(__xludf.DUMMYFUNCTION("""COMPUTED_VALUE"""),"https://drive.google.com/open?id=1gyl8v7g4SAh13PNPvaZtLWVnNO4tJfby")</f>
        <v>https://drive.google.com/open?id=1gyl8v7g4SAh13PNPvaZtLWVnNO4tJfby</v>
      </c>
      <c r="Q48" s="9" t="str">
        <f>IFERROR(__xludf.DUMMYFUNCTION("""COMPUTED_VALUE"""),"TNDHLTK22_202610515")</f>
        <v>TNDHLTK22_202610515</v>
      </c>
    </row>
    <row r="49">
      <c r="A49" s="10">
        <f>IFERROR(__xludf.DUMMYFUNCTION("""COMPUTED_VALUE"""),46016.42961021991)</f>
        <v>46016.42961</v>
      </c>
      <c r="B49" s="9" t="str">
        <f>IFERROR(__xludf.DUMMYFUNCTION("""COMPUTED_VALUE"""),"donguyenduydo@gmail.com")</f>
        <v>donguyenduydo@gmail.com</v>
      </c>
      <c r="C49" s="9">
        <f>IFERROR(__xludf.DUMMYFUNCTION("""COMPUTED_VALUE"""),1.22000755E8)</f>
        <v>122000755</v>
      </c>
      <c r="D49" s="9" t="str">
        <f>IFERROR(__xludf.DUMMYFUNCTION("""COMPUTED_VALUE"""),"Nguyễn Duy Độ")</f>
        <v>Nguyễn Duy Độ</v>
      </c>
      <c r="E49" s="9" t="str">
        <f>IFERROR(__xludf.DUMMYFUNCTION("""COMPUTED_VALUE"""),"0984375264")</f>
        <v>0984375264</v>
      </c>
      <c r="F49" s="9" t="str">
        <f>IFERROR(__xludf.DUMMYFUNCTION("""COMPUTED_VALUE"""),"22CT112")</f>
        <v>22CT112</v>
      </c>
      <c r="G49" s="9" t="str">
        <f>IFERROR(__xludf.DUMMYFUNCTION("""COMPUTED_VALUE"""),"Đặc cách tốt nghiệp")</f>
        <v>Đặc cách tốt nghiệp</v>
      </c>
      <c r="H49" s="9" t="str">
        <f>IFERROR(__xludf.DUMMYFUNCTION("""COMPUTED_VALUE"""),"Đặc cách tốt nghiệp")</f>
        <v>Đặc cách tốt nghiệp</v>
      </c>
      <c r="I49" s="9"/>
      <c r="J49" s="9"/>
      <c r="K49" s="9"/>
      <c r="L49" s="9"/>
      <c r="M49" s="9"/>
      <c r="N49" s="9" t="str">
        <f>IFERROR(__xludf.DUMMYFUNCTION("""COMPUTED_VALUE"""),"Đang đợi kết quả xét đặc cách")</f>
        <v>Đang đợi kết quả xét đặc cách</v>
      </c>
      <c r="O49" s="9">
        <f>IFERROR(__xludf.DUMMYFUNCTION("""COMPUTED_VALUE"""),10.0)</f>
        <v>10</v>
      </c>
      <c r="P49" s="11" t="str">
        <f>IFERROR(__xludf.DUMMYFUNCTION("""COMPUTED_VALUE"""),"https://drive.google.com/open?id=14nQrj64IjpPyodkoWYt5cbk-oJizdcgc")</f>
        <v>https://drive.google.com/open?id=14nQrj64IjpPyodkoWYt5cbk-oJizdcgc</v>
      </c>
      <c r="Q49" s="9" t="str">
        <f>IFERROR(__xludf.DUMMYFUNCTION("""COMPUTED_VALUE"""),"TNDHLTK22_202610515")</f>
        <v>TNDHLTK22_202610515</v>
      </c>
    </row>
    <row r="50">
      <c r="A50" s="10">
        <f>IFERROR(__xludf.DUMMYFUNCTION("""COMPUTED_VALUE"""),46016.43529824074)</f>
        <v>46016.4353</v>
      </c>
      <c r="B50" s="9" t="str">
        <f>IFERROR(__xludf.DUMMYFUNCTION("""COMPUTED_VALUE"""),"khacduc44@gmail.com")</f>
        <v>khacduc44@gmail.com</v>
      </c>
      <c r="C50" s="9">
        <f>IFERROR(__xludf.DUMMYFUNCTION("""COMPUTED_VALUE"""),1.2100124E8)</f>
        <v>121001240</v>
      </c>
      <c r="D50" s="9" t="str">
        <f>IFERROR(__xludf.DUMMYFUNCTION("""COMPUTED_VALUE"""),"Đỗ Khắc Đức")</f>
        <v>Đỗ Khắc Đức</v>
      </c>
      <c r="E50" s="9" t="str">
        <f>IFERROR(__xludf.DUMMYFUNCTION("""COMPUTED_VALUE"""),"0896615244")</f>
        <v>0896615244</v>
      </c>
      <c r="F50" s="9" t="str">
        <f>IFERROR(__xludf.DUMMYFUNCTION("""COMPUTED_VALUE"""),"22CT112")</f>
        <v>22CT112</v>
      </c>
      <c r="G50" s="9" t="str">
        <f>IFERROR(__xludf.DUMMYFUNCTION("""COMPUTED_VALUE"""),"Thực hiện đồ án tốt nghiệp")</f>
        <v>Thực hiện đồ án tốt nghiệp</v>
      </c>
      <c r="H50" s="9" t="str">
        <f>IFERROR(__xludf.DUMMYFUNCTION("""COMPUTED_VALUE"""),"Hồ Ngọc Hoàng Long")</f>
        <v>Hồ Ngọc Hoàng Long</v>
      </c>
      <c r="I50" s="9"/>
      <c r="J50" s="9" t="str">
        <f>IFERROR(__xludf.DUMMYFUNCTION("""COMPUTED_VALUE"""),"Xây dựng hệ thống trợ lý ảo gợi ý thực phẩm dành cho người tập Gym(GYM FOOD AI)")</f>
        <v>Xây dựng hệ thống trợ lý ảo gợi ý thực phẩm dành cho người tập Gym(GYM FOOD AI)</v>
      </c>
      <c r="K50" s="9" t="str">
        <f>IFERROR(__xludf.DUMMYFUNCTION("""COMPUTED_VALUE"""),"Hoàn thành dự án")</f>
        <v>Hoàn thành dự án</v>
      </c>
      <c r="L50" s="9" t="str">
        <f>IFERROR(__xludf.DUMMYFUNCTION("""COMPUTED_VALUE"""),"Xây dựng chế độ ăn uống phù hợp cho người tập gym ")</f>
        <v>Xây dựng chế độ ăn uống phù hợp cho người tập gym </v>
      </c>
      <c r="M50" s="9"/>
      <c r="N50" s="9"/>
      <c r="O50" s="9"/>
      <c r="P50" s="9"/>
      <c r="Q50" s="9" t="str">
        <f>IFERROR(__xludf.DUMMYFUNCTION("""COMPUTED_VALUE"""),"TNDHLTK22_202610515")</f>
        <v>TNDHLTK22_202610515</v>
      </c>
    </row>
    <row r="51">
      <c r="A51" s="10">
        <f>IFERROR(__xludf.DUMMYFUNCTION("""COMPUTED_VALUE"""),46016.45606600694)</f>
        <v>46016.45607</v>
      </c>
      <c r="B51" s="9" t="str">
        <f>IFERROR(__xludf.DUMMYFUNCTION("""COMPUTED_VALUE"""),"phiphi19784321@gmail.com")</f>
        <v>phiphi19784321@gmail.com</v>
      </c>
      <c r="C51" s="9">
        <f>IFERROR(__xludf.DUMMYFUNCTION("""COMPUTED_VALUE"""),1.2200055E8)</f>
        <v>122000550</v>
      </c>
      <c r="D51" s="9" t="str">
        <f>IFERROR(__xludf.DUMMYFUNCTION("""COMPUTED_VALUE"""),"Tạ Ngọc Phi Phi")</f>
        <v>Tạ Ngọc Phi Phi</v>
      </c>
      <c r="E51" s="9" t="str">
        <f>IFERROR(__xludf.DUMMYFUNCTION("""COMPUTED_VALUE"""),"0348214308")</f>
        <v>0348214308</v>
      </c>
      <c r="F51" s="9" t="str">
        <f>IFERROR(__xludf.DUMMYFUNCTION("""COMPUTED_VALUE"""),"22CT112")</f>
        <v>22CT112</v>
      </c>
      <c r="G51" s="9" t="str">
        <f>IFERROR(__xludf.DUMMYFUNCTION("""COMPUTED_VALUE"""),"Thực hiện đồ án tốt nghiệp")</f>
        <v>Thực hiện đồ án tốt nghiệp</v>
      </c>
      <c r="H51" s="9" t="str">
        <f>IFERROR(__xludf.DUMMYFUNCTION("""COMPUTED_VALUE"""),"Nguyễn Minh Phúc")</f>
        <v>Nguyễn Minh Phúc</v>
      </c>
      <c r="I51" s="9"/>
      <c r="J51" s="9" t="str">
        <f>IFERROR(__xludf.DUMMYFUNCTION("""COMPUTED_VALUE"""),"XÂY DỰNG DASHBOARD CÁ NHÂN HÓA CHO SINH VIÊN TRÊN HỆ THỐNG QUẢN LÝ HỌC TẬP (LMS)")</f>
        <v>XÂY DỰNG DASHBOARD CÁ NHÂN HÓA CHO SINH VIÊN TRÊN HỆ THỐNG QUẢN LÝ HỌC TẬP (LMS)</v>
      </c>
      <c r="K51" s="9" t="str">
        <f>IFERROR(__xludf.DUMMYFUNCTION("""COMPUTED_VALUE"""),"Xây dựng hệ thống dashboard theo dõi tiến độ học tập theo thời gian thực")</f>
        <v>Xây dựng hệ thống dashboard theo dõi tiến độ học tập theo thời gian thực</v>
      </c>
      <c r="L51" s="9" t="str">
        <f>IFERROR(__xludf.DUMMYFUNCTION("""COMPUTED_VALUE"""),"Phát triển hệ thống gợi ý bài tập cá nhân hóa dựa trên năng lực sinh viên
Tích hợp AI hỗ trợ chấm điểm và feedback tự động (công cụ hỗ trợ, không thay thế đánh giá truyền thống)
Xây dựng hệ thống phân tích và đánh giá kỹ năng mềm
Phát triển hệ thống cảnh "&amp;"báo sớm sinh viên có nguy cơ học kém")</f>
        <v>Phát triển hệ thống gợi ý bài tập cá nhân hóa dựa trên năng lực sinh viên
Tích hợp AI hỗ trợ chấm điểm và feedback tự động (công cụ hỗ trợ, không thay thế đánh giá truyền thống)
Xây dựng hệ thống phân tích và đánh giá kỹ năng mềm
Phát triển hệ thống cảnh báo sớm sinh viên có nguy cơ học kém</v>
      </c>
      <c r="M51" s="9"/>
      <c r="N51" s="9"/>
      <c r="O51" s="9"/>
      <c r="P51" s="9"/>
      <c r="Q51" s="9" t="str">
        <f>IFERROR(__xludf.DUMMYFUNCTION("""COMPUTED_VALUE"""),"TNDHLTK22_202610515")</f>
        <v>TNDHLTK22_202610515</v>
      </c>
    </row>
    <row r="52">
      <c r="A52" s="10">
        <f>IFERROR(__xludf.DUMMYFUNCTION("""COMPUTED_VALUE"""),46016.45693328704)</f>
        <v>46016.45693</v>
      </c>
      <c r="B52" s="9" t="str">
        <f>IFERROR(__xludf.DUMMYFUNCTION("""COMPUTED_VALUE"""),"hiambba2112@gmail.com")</f>
        <v>hiambba2112@gmail.com</v>
      </c>
      <c r="C52" s="9">
        <f>IFERROR(__xludf.DUMMYFUNCTION("""COMPUTED_VALUE"""),1.22001599E8)</f>
        <v>122001599</v>
      </c>
      <c r="D52" s="9" t="str">
        <f>IFERROR(__xludf.DUMMYFUNCTION("""COMPUTED_VALUE"""),"Bùi Bảo Anh")</f>
        <v>Bùi Bảo Anh</v>
      </c>
      <c r="E52" s="9" t="str">
        <f>IFERROR(__xludf.DUMMYFUNCTION("""COMPUTED_VALUE"""),"0911418758")</f>
        <v>0911418758</v>
      </c>
      <c r="F52" s="9" t="str">
        <f>IFERROR(__xludf.DUMMYFUNCTION("""COMPUTED_VALUE"""),"22CT115")</f>
        <v>22CT115</v>
      </c>
      <c r="G52" s="9" t="str">
        <f>IFERROR(__xludf.DUMMYFUNCTION("""COMPUTED_VALUE"""),"Đặc cách tốt nghiệp")</f>
        <v>Đặc cách tốt nghiệp</v>
      </c>
      <c r="H52" s="9" t="str">
        <f>IFERROR(__xludf.DUMMYFUNCTION("""COMPUTED_VALUE"""),"Đặc cách tốt nghiệp")</f>
        <v>Đặc cách tốt nghiệp</v>
      </c>
      <c r="I52" s="9"/>
      <c r="J52" s="9"/>
      <c r="K52" s="9"/>
      <c r="L52" s="9"/>
      <c r="M52" s="9"/>
      <c r="N52" s="9" t="str">
        <f>IFERROR(__xludf.DUMMYFUNCTION("""COMPUTED_VALUE"""),"Bị mất file và hình ảnh. Em đã bổ sung bằng hình ảnh điểm và quyết định của khoa")</f>
        <v>Bị mất file và hình ảnh. Em đã bổ sung bằng hình ảnh điểm và quyết định của khoa</v>
      </c>
      <c r="O52" s="9">
        <f>IFERROR(__xludf.DUMMYFUNCTION("""COMPUTED_VALUE"""),9.0)</f>
        <v>9</v>
      </c>
      <c r="P52" s="11" t="str">
        <f>IFERROR(__xludf.DUMMYFUNCTION("""COMPUTED_VALUE"""),"https://drive.google.com/open?id=19gqrjxyv0eOiyRk9VTjiUwDmiY-cGX-Z")</f>
        <v>https://drive.google.com/open?id=19gqrjxyv0eOiyRk9VTjiUwDmiY-cGX-Z</v>
      </c>
      <c r="Q52" s="9" t="str">
        <f>IFERROR(__xludf.DUMMYFUNCTION("""COMPUTED_VALUE"""),"TNDHLTK22_202610515")</f>
        <v>TNDHLTK22_202610515</v>
      </c>
    </row>
    <row r="53">
      <c r="A53" s="10">
        <f>IFERROR(__xludf.DUMMYFUNCTION("""COMPUTED_VALUE"""),46016.65421570602)</f>
        <v>46016.65422</v>
      </c>
      <c r="B53" s="9" t="str">
        <f>IFERROR(__xludf.DUMMYFUNCTION("""COMPUTED_VALUE"""),"hoangthien110104@gmail.com")</f>
        <v>hoangthien110104@gmail.com</v>
      </c>
      <c r="C53" s="9">
        <f>IFERROR(__xludf.DUMMYFUNCTION("""COMPUTED_VALUE"""),1.22001249E8)</f>
        <v>122001249</v>
      </c>
      <c r="D53" s="9" t="str">
        <f>IFERROR(__xludf.DUMMYFUNCTION("""COMPUTED_VALUE"""),"Phạm Hoàng Thiện")</f>
        <v>Phạm Hoàng Thiện</v>
      </c>
      <c r="E53" s="9" t="str">
        <f>IFERROR(__xludf.DUMMYFUNCTION("""COMPUTED_VALUE"""),"0396566706")</f>
        <v>0396566706</v>
      </c>
      <c r="F53" s="9" t="str">
        <f>IFERROR(__xludf.DUMMYFUNCTION("""COMPUTED_VALUE"""),"22CT113")</f>
        <v>22CT113</v>
      </c>
      <c r="G53" s="9" t="str">
        <f>IFERROR(__xludf.DUMMYFUNCTION("""COMPUTED_VALUE"""),"Đặc cách tốt nghiệp")</f>
        <v>Đặc cách tốt nghiệp</v>
      </c>
      <c r="H53" s="9" t="str">
        <f>IFERROR(__xludf.DUMMYFUNCTION("""COMPUTED_VALUE"""),"Đặc cách tốt nghiệp")</f>
        <v>Đặc cách tốt nghiệp</v>
      </c>
      <c r="I53" s="9"/>
      <c r="J53" s="9"/>
      <c r="K53" s="9"/>
      <c r="L53" s="9"/>
      <c r="M53" s="9"/>
      <c r="N53" s="9" t="str">
        <f>IFERROR(__xludf.DUMMYFUNCTION("""COMPUTED_VALUE"""),"Đạt giải 3 Robocon Việt Nam")</f>
        <v>Đạt giải 3 Robocon Việt Nam</v>
      </c>
      <c r="O53" s="9">
        <f>IFERROR(__xludf.DUMMYFUNCTION("""COMPUTED_VALUE"""),10.0)</f>
        <v>10</v>
      </c>
      <c r="P53" s="11" t="str">
        <f>IFERROR(__xludf.DUMMYFUNCTION("""COMPUTED_VALUE"""),"https://drive.google.com/open?id=1DUgez0FRBVaekQk5al1h6rsm58fDBHOq")</f>
        <v>https://drive.google.com/open?id=1DUgez0FRBVaekQk5al1h6rsm58fDBHOq</v>
      </c>
      <c r="Q53" s="9" t="str">
        <f>IFERROR(__xludf.DUMMYFUNCTION("""COMPUTED_VALUE"""),"TNDHLTK22_202610515")</f>
        <v>TNDHLTK22_202610515</v>
      </c>
    </row>
    <row r="54">
      <c r="A54" s="10">
        <f>IFERROR(__xludf.DUMMYFUNCTION("""COMPUTED_VALUE"""),46016.72360518519)</f>
        <v>46016.72361</v>
      </c>
      <c r="B54" s="9" t="str">
        <f>IFERROR(__xludf.DUMMYFUNCTION("""COMPUTED_VALUE"""),"minhbundy2k4@gmail.com")</f>
        <v>minhbundy2k4@gmail.com</v>
      </c>
      <c r="C54" s="9">
        <f>IFERROR(__xludf.DUMMYFUNCTION("""COMPUTED_VALUE"""),1.22000286E8)</f>
        <v>122000286</v>
      </c>
      <c r="D54" s="9" t="str">
        <f>IFERROR(__xludf.DUMMYFUNCTION("""COMPUTED_VALUE"""),"Phạm Khánh Minh ")</f>
        <v>Phạm Khánh Minh </v>
      </c>
      <c r="E54" s="9" t="str">
        <f>IFERROR(__xludf.DUMMYFUNCTION("""COMPUTED_VALUE"""),"0792781785")</f>
        <v>0792781785</v>
      </c>
      <c r="F54" s="9" t="str">
        <f>IFERROR(__xludf.DUMMYFUNCTION("""COMPUTED_VALUE"""),"22EC111")</f>
        <v>22EC111</v>
      </c>
      <c r="G54" s="9" t="str">
        <f>IFERROR(__xludf.DUMMYFUNCTION("""COMPUTED_VALUE"""),"Thực hiện đồ án tốt nghiệp")</f>
        <v>Thực hiện đồ án tốt nghiệp</v>
      </c>
      <c r="H54" s="9" t="str">
        <f>IFERROR(__xludf.DUMMYFUNCTION("""COMPUTED_VALUE"""),"Bùi Thị Thu Trang")</f>
        <v>Bùi Thị Thu Trang</v>
      </c>
      <c r="I54" s="9"/>
      <c r="J54" s="9" t="str">
        <f>IFERROR(__xludf.DUMMYFUNCTION("""COMPUTED_VALUE"""),"Xây dựng website thương mại điện tử và phân tích hành vi người tiêu dùng đối với sản phẩm cà phê sạch – Trường hợp thương hiệu The Bundy")</f>
        <v>Xây dựng website thương mại điện tử và phân tích hành vi người tiêu dùng đối với sản phẩm cà phê sạch – Trường hợp thương hiệu The Bundy</v>
      </c>
      <c r="K54" s="9" t="str">
        <f>IFERROR(__xludf.DUMMYFUNCTION("""COMPUTED_VALUE"""),"Đề tài của em xây dựng một website thương mại điện tử mô phỏng cho thương hiệu cà phê sạch The Bundy, đồng thời thu thập và phân tích dữ liệu người dùng để đánh giá hành vi tiêu dùng và tiềm năng phát triển sản phẩm cà phê sạch trên nền tảng thương mại đi"&amp;"ện tử.
Cụ thể:
Xây dựng website thương mại điện tử đơn giản phục vụ việc giới thiệu sản phẩm và thu thập thông tin, phản hồi từ người dùng.
Thu thập dữ liệu thực tế về hành vi truy cập, nhu cầu và mức độ quan tâm của khách hàng thông qua website và khảo s"&amp;"át trực tuyến.
Phân tích dữ liệu thu thập được nhằm đánh giá hành vi tiêu dùng đối với sản phẩm cà phê sạch trên môi trường thương mại điện tử.
Đề xuất một số giải pháp cải thiện website và định hướng phát triển hoạt động thương mại điện tử cho thương hiệ"&amp;"u The Bundy.")</f>
        <v>Đề tài của em xây dựng một website thương mại điện tử mô phỏng cho thương hiệu cà phê sạch The Bundy, đồng thời thu thập và phân tích dữ liệu người dùng để đánh giá hành vi tiêu dùng và tiềm năng phát triển sản phẩm cà phê sạch trên nền tảng thương mại điện tử.
Cụ thể:
Xây dựng website thương mại điện tử đơn giản phục vụ việc giới thiệu sản phẩm và thu thập thông tin, phản hồi từ người dùng.
Thu thập dữ liệu thực tế về hành vi truy cập, nhu cầu và mức độ quan tâm của khách hàng thông qua website và khảo sát trực tuyến.
Phân tích dữ liệu thu thập được nhằm đánh giá hành vi tiêu dùng đối với sản phẩm cà phê sạch trên môi trường thương mại điện tử.
Đề xuất một số giải pháp cải thiện website và định hướng phát triển hoạt động thương mại điện tử cho thương hiệu The Bundy.</v>
      </c>
      <c r="L54" s="9" t="str">
        <f>IFERROR(__xludf.DUMMYFUNCTION("""COMPUTED_VALUE"""),"Nghiên cứu tổng quan và cơ sở lý thuyết, Phân tích và thiết kế website thương mại điện tử, xây dựng website và thu thập dữ liệu thực tế, Phân tích dữ liệu và đánh giá hành vi tiêu dùng, Đề xuất giải pháp và kết luận")</f>
        <v>Nghiên cứu tổng quan và cơ sở lý thuyết, Phân tích và thiết kế website thương mại điện tử, xây dựng website và thu thập dữ liệu thực tế, Phân tích dữ liệu và đánh giá hành vi tiêu dùng, Đề xuất giải pháp và kết luận</v>
      </c>
      <c r="M54" s="9" t="str">
        <f>IFERROR(__xludf.DUMMYFUNCTION("""COMPUTED_VALUE"""),"Website và sản phẩm cà phê sạch trong đề tài được xây dựng theo mô hình mô phỏng, phục vụ mục đích học tập và nghiên cứu.
Dữ liệu thu thập được sử dụng để phân tích hành vi người tiêu dùng, không mang tính thương mại.
Tập trung vào việc ứng dụng thương "&amp;"mại điện tử và phân tích dữ liệu ở mức độ phù hợp với sinh viên năm cuối ngành Thương mại điện tử, không đi sâu vào lập trình chuyên sâu.")</f>
        <v>Website và sản phẩm cà phê sạch trong đề tài được xây dựng theo mô hình mô phỏng, phục vụ mục đích học tập và nghiên cứu.
Dữ liệu thu thập được sử dụng để phân tích hành vi người tiêu dùng, không mang tính thương mại.
Tập trung vào việc ứng dụng thương mại điện tử và phân tích dữ liệu ở mức độ phù hợp với sinh viên năm cuối ngành Thương mại điện tử, không đi sâu vào lập trình chuyên sâu.</v>
      </c>
      <c r="N54" s="9"/>
      <c r="O54" s="9"/>
      <c r="P54" s="9"/>
      <c r="Q54" s="9" t="str">
        <f>IFERROR(__xludf.DUMMYFUNCTION("""COMPUTED_VALUE"""),"TNDHLTK22_202610515")</f>
        <v>TNDHLTK22_202610515</v>
      </c>
    </row>
    <row r="55">
      <c r="A55" s="10">
        <f>IFERROR(__xludf.DUMMYFUNCTION("""COMPUTED_VALUE"""),46017.342210069444)</f>
        <v>46017.34221</v>
      </c>
      <c r="B55" s="9" t="str">
        <f>IFERROR(__xludf.DUMMYFUNCTION("""COMPUTED_VALUE"""),"trangiahuymapdich@gmail.com")</f>
        <v>trangiahuymapdich@gmail.com</v>
      </c>
      <c r="C55" s="9">
        <f>IFERROR(__xludf.DUMMYFUNCTION("""COMPUTED_VALUE"""),1.22000163E8)</f>
        <v>122000163</v>
      </c>
      <c r="D55" s="9" t="str">
        <f>IFERROR(__xludf.DUMMYFUNCTION("""COMPUTED_VALUE"""),"Trần Gia Huy")</f>
        <v>Trần Gia Huy</v>
      </c>
      <c r="E55" s="9" t="str">
        <f>IFERROR(__xludf.DUMMYFUNCTION("""COMPUTED_VALUE"""),"0933064408")</f>
        <v>0933064408</v>
      </c>
      <c r="F55" s="9" t="str">
        <f>IFERROR(__xludf.DUMMYFUNCTION("""COMPUTED_VALUE"""),"22CT112")</f>
        <v>22CT112</v>
      </c>
      <c r="G55" s="9" t="str">
        <f>IFERROR(__xludf.DUMMYFUNCTION("""COMPUTED_VALUE"""),"Thực hiện đồ án tốt nghiệp")</f>
        <v>Thực hiện đồ án tốt nghiệp</v>
      </c>
      <c r="H55" s="9" t="str">
        <f>IFERROR(__xludf.DUMMYFUNCTION("""COMPUTED_VALUE"""),"Phan Tuấn Lực")</f>
        <v>Phan Tuấn Lực</v>
      </c>
      <c r="I55" s="9" t="str">
        <f>IFERROR(__xludf.DUMMYFUNCTION("""COMPUTED_VALUE"""),"Phan Tuấn Lực")</f>
        <v>Phan Tuấn Lực</v>
      </c>
      <c r="J55" s="9" t="str">
        <f>IFERROR(__xludf.DUMMYFUNCTION("""COMPUTED_VALUE"""),"Phát Triển Ứng Dụng NetLens Giám Sát và Quản Lý Hệ Thống Mạng")</f>
        <v>Phát Triển Ứng Dụng NetLens Giám Sát và Quản Lý Hệ Thống Mạng</v>
      </c>
      <c r="K55" s="9" t="str">
        <f>IFERROR(__xludf.DUMMYFUNCTION("""COMPUTED_VALUE"""),"Mục tiêu đề tài:
Nghiên cứu và phát triển một ứng dụng giám sát và quản lý hệ thống mạng 
cho doanh nghiệp.
Kết quả của đề tài:
Hệ thống cho phép doanh nghiệp,
Quét nhận diện thiết bị: Người dùng sử dụng camera để xem trực tiếp thông tin thiết bị. 
Có hệ "&amp;"thống cơ sở dữ liệu về thông tin các thiết bị mạng.
Theo dõi thiết bị theo thời gian thực. 
Thông báo khi thiết bị bị mất kết nối. 
Cấu hình thiết bị thông qua ứng dụng.")</f>
        <v>Mục tiêu đề tài:
Nghiên cứu và phát triển một ứng dụng giám sát và quản lý hệ thống mạng 
cho doanh nghiệp.
Kết quả của đề tài:
Hệ thống cho phép doanh nghiệp,
Quét nhận diện thiết bị: Người dùng sử dụng camera để xem trực tiếp thông tin thiết bị. 
Có hệ thống cơ sở dữ liệu về thông tin các thiết bị mạng.
Theo dõi thiết bị theo thời gian thực. 
Thông báo khi thiết bị bị mất kết nối. 
Cấu hình thiết bị thông qua ứng dụng.</v>
      </c>
      <c r="L55" s="9" t="str">
        <f>IFERROR(__xludf.DUMMYFUNCTION("""COMPUTED_VALUE"""),"STT 01
Nội dung thực hiện: Khảo sát ứng dụng NetLens
Thời gian: 1 tuần
Thời gian thực hiện: Từ ngày 11/08/2025 đến ngày 18/08/2025
Người thực hiện: Vũ Văn Phú, Trần Gia Huy
STT 02
Nội dung thực hiện: Thiết kế giao diện
Thời gian: 2 tuần
Thời gian thực hi"&amp;"ện: Từ ngày 19/08/2025 đến ngày 02/09/2025
Người thực hiện: Vũ Văn Phú, Trần Gia Huy
STT 03
Nội dung thực hiện: Thiết kế database
Thời gian: 1 tuần
Thời gian thực hiện: Từ ngày 03/09/2025 đến ngày 11/09/2025
Người thực hiện: Vũ Văn Phú, Trần Gia Huy
STT"&amp;" 04
Nội dung thực hiện: Xây dựng Server API
Thời gian: 1 tuần
Thời gian thực hiện: Từ ngày 12/09/2025 đến ngày 19/09/2025
Người thực hiện: Vũ Văn Phú, Trần Gia Huy
STT 05
Nội dung thực hiện: Phát triển tính năng quét nhận diện thiết bị
Thời gian: 4 tuần
"&amp;"Thời gian thực hiện: Từ ngày 20/09/2025 đến ngày 04/10/2025
Người thực hiện: Vũ Văn Phú, Trần Gia Huy
STT 06
Nội dung thực hiện: Phát triển tính năng theo dõi thiết bị theo thời gian thực
Thời gian: 1 tuần
Thời gian thực hiện: Từ ngày 05/10/2025 đến ngày"&amp;" 19/10/2025
Người thực hiện: Vũ Văn Phú, Trần Gia Huy
STT 07
Nội dung thực hiện: Phát triển tính năng thông báo khi thiết bị mất kết nối
Thời gian: 1 tuần
Thời gian thực hiện: Từ ngày 20/10/2025 đến ngày 27/10/2025
Người thực hiện: Vũ Văn Phú, Trần Gia H"&amp;"uy
STT 08
Nội dung thực hiện: Xây dựng dịch vụ lấy thông tin thiết bị
Thời gian: 2 tuần
Thời gian thực hiện: Từ ngày 28/10/2025 đến ngày 11/11/2025
Người thực hiện: Vũ Văn Phú, Trần Gia Huy
STT 09
Nội dung thực hiện: Phát triển tính năng cấu hình thiết "&amp;"bị
Thời gian: 1 tuần
Thời gian thực hiện: Từ ngày 12/11/2025 đến ngày 19/11/2025
Người thực hiện: Vũ Văn Phú, Trần Gia Huy
STT 10
Nội dung thực hiện: Phát triển tính năng AI đề xuất sửa lỗi mạng
Thời gian: 1 tuần
Thời gian thực hiện: Từ ngày 29/12/2025 đ"&amp;"ến ngày 05/01/2026
Người thực hiện: Vũ Văn Phú, Trần Gia Huy
STT 11
Nội dung thực hiện: Tiếp tục cải thiện, sửa lỗi, xây dựng và hoàn thiện ứng dụng
Thời gian: 2 tháng
Thời gian thực hiện: Từ ngày 11/01/2026 đến ngày 11/03/2026
Người thực hiện: Vũ Văn Ph"&amp;"ú, Trần Gia Huy
STT 12
Nội dung thực hiện: Triển khai phần mềm
Thời gian: 2 tháng
Thời gian thực hiện: Từ ngày 13/03/2026 đến ngày 13/05/2026
Người thực hiện: Vũ Văn Phú, Trần Gia Huy")</f>
        <v>STT 01
Nội dung thực hiện: Khảo sát ứng dụng NetLens
Thời gian: 1 tuần
Thời gian thực hiện: Từ ngày 11/08/2025 đến ngày 18/08/2025
Người thực hiện: Vũ Văn Phú, Trần Gia Huy
STT 02
Nội dung thực hiện: Thiết kế giao diện
Thời gian: 2 tuần
Thời gian thực hiện: Từ ngày 19/08/2025 đến ngày 02/09/2025
Người thực hiện: Vũ Văn Phú, Trần Gia Huy
STT 03
Nội dung thực hiện: Thiết kế database
Thời gian: 1 tuần
Thời gian thực hiện: Từ ngày 03/09/2025 đến ngày 11/09/2025
Người thực hiện: Vũ Văn Phú, Trần Gia Huy
STT 04
Nội dung thực hiện: Xây dựng Server API
Thời gian: 1 tuần
Thời gian thực hiện: Từ ngày 12/09/2025 đến ngày 19/09/2025
Người thực hiện: Vũ Văn Phú, Trần Gia Huy
STT 05
Nội dung thực hiện: Phát triển tính năng quét nhận diện thiết bị
Thời gian: 4 tuần
Thời gian thực hiện: Từ ngày 20/09/2025 đến ngày 04/10/2025
Người thực hiện: Vũ Văn Phú, Trần Gia Huy
STT 06
Nội dung thực hiện: Phát triển tính năng theo dõi thiết bị theo thời gian thực
Thời gian: 1 tuần
Thời gian thực hiện: Từ ngày 05/10/2025 đến ngày 19/10/2025
Người thực hiện: Vũ Văn Phú, Trần Gia Huy
STT 07
Nội dung thực hiện: Phát triển tính năng thông báo khi thiết bị mất kết nối
Thời gian: 1 tuần
Thời gian thực hiện: Từ ngày 20/10/2025 đến ngày 27/10/2025
Người thực hiện: Vũ Văn Phú, Trần Gia Huy
STT 08
Nội dung thực hiện: Xây dựng dịch vụ lấy thông tin thiết bị
Thời gian: 2 tuần
Thời gian thực hiện: Từ ngày 28/10/2025 đến ngày 11/11/2025
Người thực hiện: Vũ Văn Phú, Trần Gia Huy
STT 09
Nội dung thực hiện: Phát triển tính năng cấu hình thiết bị
Thời gian: 1 tuần
Thời gian thực hiện: Từ ngày 12/11/2025 đến ngày 19/11/2025
Người thực hiện: Vũ Văn Phú, Trần Gia Huy
STT 10
Nội dung thực hiện: Phát triển tính năng AI đề xuất sửa lỗi mạng
Thời gian: 1 tuần
Thời gian thực hiện: Từ ngày 29/12/2025 đến ngày 05/01/2026
Người thực hiện: Vũ Văn Phú, Trần Gia Huy
STT 11
Nội dung thực hiện: Tiếp tục cải thiện, sửa lỗi, xây dựng và hoàn thiện ứng dụng
Thời gian: 2 tháng
Thời gian thực hiện: Từ ngày 11/01/2026 đến ngày 11/03/2026
Người thực hiện: Vũ Văn Phú, Trần Gia Huy
STT 12
Nội dung thực hiện: Triển khai phần mềm
Thời gian: 2 tháng
Thời gian thực hiện: Từ ngày 13/03/2026 đến ngày 13/05/2026
Người thực hiện: Vũ Văn Phú, Trần Gia Huy</v>
      </c>
      <c r="M55" s="9"/>
      <c r="N55" s="9"/>
      <c r="O55" s="9"/>
      <c r="P55" s="9"/>
      <c r="Q55" s="9" t="str">
        <f>IFERROR(__xludf.DUMMYFUNCTION("""COMPUTED_VALUE"""),"TNDHLTK22_202610515")</f>
        <v>TNDHLTK22_202610515</v>
      </c>
    </row>
    <row r="56">
      <c r="A56" s="10">
        <f>IFERROR(__xludf.DUMMYFUNCTION("""COMPUTED_VALUE"""),46017.35266417824)</f>
        <v>46017.35266</v>
      </c>
      <c r="B56" s="9" t="str">
        <f>IFERROR(__xludf.DUMMYFUNCTION("""COMPUTED_VALUE"""),"vuvanphu19704@gmail.com")</f>
        <v>vuvanphu19704@gmail.com</v>
      </c>
      <c r="C56" s="9">
        <f>IFERROR(__xludf.DUMMYFUNCTION("""COMPUTED_VALUE"""),1.22000181E8)</f>
        <v>122000181</v>
      </c>
      <c r="D56" s="9" t="str">
        <f>IFERROR(__xludf.DUMMYFUNCTION("""COMPUTED_VALUE"""),"Vũ Văn Phú")</f>
        <v>Vũ Văn Phú</v>
      </c>
      <c r="E56" s="9" t="str">
        <f>IFERROR(__xludf.DUMMYFUNCTION("""COMPUTED_VALUE"""),"0865864336")</f>
        <v>0865864336</v>
      </c>
      <c r="F56" s="9" t="str">
        <f>IFERROR(__xludf.DUMMYFUNCTION("""COMPUTED_VALUE"""),"22CT112")</f>
        <v>22CT112</v>
      </c>
      <c r="G56" s="9" t="str">
        <f>IFERROR(__xludf.DUMMYFUNCTION("""COMPUTED_VALUE"""),"Thực hiện đồ án tốt nghiệp")</f>
        <v>Thực hiện đồ án tốt nghiệp</v>
      </c>
      <c r="H56" s="9" t="str">
        <f>IFERROR(__xludf.DUMMYFUNCTION("""COMPUTED_VALUE"""),"Phan Tuấn Lực")</f>
        <v>Phan Tuấn Lực</v>
      </c>
      <c r="I56" s="9" t="str">
        <f>IFERROR(__xludf.DUMMYFUNCTION("""COMPUTED_VALUE"""),"Phan Tuấn Lực")</f>
        <v>Phan Tuấn Lực</v>
      </c>
      <c r="J56" s="9" t="str">
        <f>IFERROR(__xludf.DUMMYFUNCTION("""COMPUTED_VALUE"""),"Phát Triển Ứng Dụng NetLens Giám Sát và Quản Lý Hệ Thống Mạng")</f>
        <v>Phát Triển Ứng Dụng NetLens Giám Sát và Quản Lý Hệ Thống Mạng</v>
      </c>
      <c r="K56" s="9" t="str">
        <f>IFERROR(__xludf.DUMMYFUNCTION("""COMPUTED_VALUE"""),"Nghiên cứu và phát triển một ứng dụng giám sát và quản lý hệ thống mạng 
cho doanh nghiệp.
Kết quả của đề tài:
Hệ thống cho phép doanh nghiệp,
Quét nhận diện thiết bị: Người dùng sử dụng camera để xem trực tiếp thông tin thiết bị. 
Có hệ thống cơ sở dữ li"&amp;"ệu về thông tin các thiết bị mạng.
Theo dõi thiết bị theo thời gian thực. 
Thông báo khi thiết bị bị mất kết nối. 
Cấu hình thiết bị thông qua ứng dụng.")</f>
        <v>Nghiên cứu và phát triển một ứng dụng giám sát và quản lý hệ thống mạng 
cho doanh nghiệp.
Kết quả của đề tài:
Hệ thống cho phép doanh nghiệp,
Quét nhận diện thiết bị: Người dùng sử dụng camera để xem trực tiếp thông tin thiết bị. 
Có hệ thống cơ sở dữ liệu về thông tin các thiết bị mạng.
Theo dõi thiết bị theo thời gian thực. 
Thông báo khi thiết bị bị mất kết nối. 
Cấu hình thiết bị thông qua ứng dụng.</v>
      </c>
      <c r="L56" s="9" t="str">
        <f>IFERROR(__xludf.DUMMYFUNCTION("""COMPUTED_VALUE"""),"STT 01
Nội dung thực hiện: Khảo sát ứng dụng NetLens
Thời gian: 1 tuần
Thời gian thực hiện: Từ ngày 11/08/2025 đến ngày 18/08/2025
Người thực hiện: Vũ Văn Phú, Trần Gia Huy
STT 02
Nội dung thực hiện: Thiết kế giao diện
Thời gian: 2 tuần
Thời gian thực hi"&amp;"ện: Từ ngày 19/08/2025 đến ngày 02/09/2025
Người thực hiện: Vũ Văn Phú, Trần Gia Huy
STT 03
Nội dung thực hiện: Thiết kế database
Thời gian: 1 tuần
Thời gian thực hiện: Từ ngày 03/09/2025 đến ngày 11/09/2025
Người thực hiện: Vũ Văn Phú, Trần Gia Huy
STT"&amp;" 04
Nội dung thực hiện: Xây dựng Server API
Thời gian: 1 tuần
Thời gian thực hiện: Từ ngày 12/09/2025 đến ngày 19/09/2025
Người thực hiện: Vũ Văn Phú, Trần Gia Huy
STT 05
Nội dung thực hiện: Phát triển tính năng quét nhận diện thiết bị
Thời gian: 4 tuần
"&amp;"Thời gian thực hiện: Từ ngày 20/09/2025 đến ngày 04/10/2025
Người thực hiện: Vũ Văn Phú, Trần Gia Huy
STT 06
Nội dung thực hiện: Phát triển tính năng theo dõi thiết bị theo thời gian thực
Thời gian: 1 tuần
Thời gian thực hiện: Từ ngày 05/10/2025 đến ngày"&amp;" 19/10/2025
Người thực hiện: Vũ Văn Phú, Trần Gia Huy
STT 07
Nội dung thực hiện: Phát triển tính năng thông báo khi thiết bị mất kết nối
Thời gian: 1 tuần
Thời gian thực hiện: Từ ngày 20/10/2025 đến ngày 27/10/2025
Người thực hiện: Vũ Văn Phú, Trần Gia H"&amp;"uy
STT 08
Nội dung thực hiện: Xây dựng dịch vụ lấy thông tin thiết bị
Thời gian: 2 tuần
Thời gian thực hiện: Từ ngày 28/10/2025 đến ngày 11/11/2025
Người thực hiện: Vũ Văn Phú, Trần Gia Huy
STT 09
Nội dung thực hiện: Phát triển tính năng cấu hình thiết "&amp;"bị
Thời gian: 1 tuần
Thời gian thực hiện: Từ ngày 12/11/2025 đến ngày 19/11/2025
Người thực hiện: Vũ Văn Phú, Trần Gia Huy
STT 10
Nội dung thực hiện: Phát triển tính năng AI đề xuất sửa lỗi mạng
Thời gian: 1 tuần
Thời gian thực hiện: Từ ngày 29/12/2025 đ"&amp;"ến ngày 05/01/2026
Người thực hiện: Vũ Văn Phú, Trần Gia Huy
STT 11
Nội dung thực hiện: Tiếp tục cải thiện, sửa lỗi, xây dựng và hoàn thiện ứng dụng
Thời gian: 2 tháng
Thời gian thực hiện: Từ ngày 11/01/2026 đến ngày 11/03/2026
Người thực hiện: Vũ Văn Ph"&amp;"ú, Trần Gia Huy
STT 12
Nội dung thực hiện: Triển khai phần mềm
Thời gian: 2 tháng
Thời gian thực hiện: Từ ngày 13/03/2026 đến ngày 13/05/2026
Người thực hiện: Vũ Văn Phú, Trần Gia Huy")</f>
        <v>STT 01
Nội dung thực hiện: Khảo sát ứng dụng NetLens
Thời gian: 1 tuần
Thời gian thực hiện: Từ ngày 11/08/2025 đến ngày 18/08/2025
Người thực hiện: Vũ Văn Phú, Trần Gia Huy
STT 02
Nội dung thực hiện: Thiết kế giao diện
Thời gian: 2 tuần
Thời gian thực hiện: Từ ngày 19/08/2025 đến ngày 02/09/2025
Người thực hiện: Vũ Văn Phú, Trần Gia Huy
STT 03
Nội dung thực hiện: Thiết kế database
Thời gian: 1 tuần
Thời gian thực hiện: Từ ngày 03/09/2025 đến ngày 11/09/2025
Người thực hiện: Vũ Văn Phú, Trần Gia Huy
STT 04
Nội dung thực hiện: Xây dựng Server API
Thời gian: 1 tuần
Thời gian thực hiện: Từ ngày 12/09/2025 đến ngày 19/09/2025
Người thực hiện: Vũ Văn Phú, Trần Gia Huy
STT 05
Nội dung thực hiện: Phát triển tính năng quét nhận diện thiết bị
Thời gian: 4 tuần
Thời gian thực hiện: Từ ngày 20/09/2025 đến ngày 04/10/2025
Người thực hiện: Vũ Văn Phú, Trần Gia Huy
STT 06
Nội dung thực hiện: Phát triển tính năng theo dõi thiết bị theo thời gian thực
Thời gian: 1 tuần
Thời gian thực hiện: Từ ngày 05/10/2025 đến ngày 19/10/2025
Người thực hiện: Vũ Văn Phú, Trần Gia Huy
STT 07
Nội dung thực hiện: Phát triển tính năng thông báo khi thiết bị mất kết nối
Thời gian: 1 tuần
Thời gian thực hiện: Từ ngày 20/10/2025 đến ngày 27/10/2025
Người thực hiện: Vũ Văn Phú, Trần Gia Huy
STT 08
Nội dung thực hiện: Xây dựng dịch vụ lấy thông tin thiết bị
Thời gian: 2 tuần
Thời gian thực hiện: Từ ngày 28/10/2025 đến ngày 11/11/2025
Người thực hiện: Vũ Văn Phú, Trần Gia Huy
STT 09
Nội dung thực hiện: Phát triển tính năng cấu hình thiết bị
Thời gian: 1 tuần
Thời gian thực hiện: Từ ngày 12/11/2025 đến ngày 19/11/2025
Người thực hiện: Vũ Văn Phú, Trần Gia Huy
STT 10
Nội dung thực hiện: Phát triển tính năng AI đề xuất sửa lỗi mạng
Thời gian: 1 tuần
Thời gian thực hiện: Từ ngày 29/12/2025 đến ngày 05/01/2026
Người thực hiện: Vũ Văn Phú, Trần Gia Huy
STT 11
Nội dung thực hiện: Tiếp tục cải thiện, sửa lỗi, xây dựng và hoàn thiện ứng dụng
Thời gian: 2 tháng
Thời gian thực hiện: Từ ngày 11/01/2026 đến ngày 11/03/2026
Người thực hiện: Vũ Văn Phú, Trần Gia Huy
STT 12
Nội dung thực hiện: Triển khai phần mềm
Thời gian: 2 tháng
Thời gian thực hiện: Từ ngày 13/03/2026 đến ngày 13/05/2026
Người thực hiện: Vũ Văn Phú, Trần Gia Huy</v>
      </c>
      <c r="M56" s="9"/>
      <c r="N56" s="9"/>
      <c r="O56" s="9"/>
      <c r="P56" s="9"/>
      <c r="Q56" s="9" t="str">
        <f>IFERROR(__xludf.DUMMYFUNCTION("""COMPUTED_VALUE"""),"TNDHLTK22_202610515")</f>
        <v>TNDHLTK22_202610515</v>
      </c>
    </row>
    <row r="57">
      <c r="A57" s="10">
        <f>IFERROR(__xludf.DUMMYFUNCTION("""COMPUTED_VALUE"""),46017.375199664355)</f>
        <v>46017.3752</v>
      </c>
      <c r="B57" s="9" t="str">
        <f>IFERROR(__xludf.DUMMYFUNCTION("""COMPUTED_VALUE"""),"screendier21@gmail.com")</f>
        <v>screendier21@gmail.com</v>
      </c>
      <c r="C57" s="9">
        <f>IFERROR(__xludf.DUMMYFUNCTION("""COMPUTED_VALUE"""),1.2200121E8)</f>
        <v>122001210</v>
      </c>
      <c r="D57" s="9" t="str">
        <f>IFERROR(__xludf.DUMMYFUNCTION("""COMPUTED_VALUE"""),"Lê Quốc Bảo")</f>
        <v>Lê Quốc Bảo</v>
      </c>
      <c r="E57" s="9" t="str">
        <f>IFERROR(__xludf.DUMMYFUNCTION("""COMPUTED_VALUE"""),"0866856490")</f>
        <v>0866856490</v>
      </c>
      <c r="F57" s="9" t="str">
        <f>IFERROR(__xludf.DUMMYFUNCTION("""COMPUTED_VALUE"""),"22CT112")</f>
        <v>22CT112</v>
      </c>
      <c r="G57" s="9" t="str">
        <f>IFERROR(__xludf.DUMMYFUNCTION("""COMPUTED_VALUE"""),"Thực hiện đồ án tốt nghiệp")</f>
        <v>Thực hiện đồ án tốt nghiệp</v>
      </c>
      <c r="H57" s="9" t="str">
        <f>IFERROR(__xludf.DUMMYFUNCTION("""COMPUTED_VALUE"""),"Nguyễn Minh Phúc")</f>
        <v>Nguyễn Minh Phúc</v>
      </c>
      <c r="I57" s="9"/>
      <c r="J57" s="9" t="str">
        <f>IFERROR(__xludf.DUMMYFUNCTION("""COMPUTED_VALUE"""),"Xây dựng module phân loại trình độ sinh viên dựa trên điểm số và hành vi học tập")</f>
        <v>Xây dựng module phân loại trình độ sinh viên dựa trên điểm số và hành vi học tập</v>
      </c>
      <c r="K57" s="9" t="str">
        <f>IFERROR(__xludf.DUMMYFUNCTION("""COMPUTED_VALUE"""),"Mục tiêu cốt lõi của đề tài là xây dựng hệ thống phân loại sinh viên tự động và khách quan nhằm hỗ trợ giáo viên trong công tác đánh giá, thay thế cho phương pháp thủ công tốn kém thời gian. Hệ thống ứng dụng thuật toán Machine Learning (kết hợp K-means v"&amp;"à KNN) để phân loại sinh viên thành 4 mức độ từ Xuất sắc đến Yếu dựa trên các tiêu chí đa dạng như điểm số, tỷ lệ tham gia và hành vi học tập. Ngoài ra, dự án còn tập trung phát triển khả năng phát hiện gian lận qua các dấu hiệu bất thường, đánh giá chi t"&amp;"iết 16 kỹ năng lập trình và cung cấp giao diện web cùng REST API để tích hợp hệ thống")</f>
        <v>Mục tiêu cốt lõi của đề tài là xây dựng hệ thống phân loại sinh viên tự động và khách quan nhằm hỗ trợ giáo viên trong công tác đánh giá, thay thế cho phương pháp thủ công tốn kém thời gian. Hệ thống ứng dụng thuật toán Machine Learning (kết hợp K-means và KNN) để phân loại sinh viên thành 4 mức độ từ Xuất sắc đến Yếu dựa trên các tiêu chí đa dạng như điểm số, tỷ lệ tham gia và hành vi học tập. Ngoài ra, dự án còn tập trung phát triển khả năng phát hiện gian lận qua các dấu hiệu bất thường, đánh giá chi tiết 16 kỹ năng lập trình và cung cấp giao diện web cùng REST API để tích hợp hệ thống</v>
      </c>
      <c r="L57" s="9" t="str">
        <f>IFERROR(__xludf.DUMMYFUNCTION("""COMPUTED_VALUE"""),"Nội dung thực hiện tuân theo quy trình phát triển phần mềm toàn diện, sử dụng ngôn ngữ Python, framework Flask và thư viện Scikit-learn để xây dựng ứng dụng web và xử lý thuật toán. Nhóm tác giả tập trung phát triển thuật toán phân loại thông qua việc chu"&amp;"ẩn hóa dữ liệu, sử dụng K-means để phân cụm và KNN để tinh chỉnh kết quả nhằm đạt độ chính xác tối ưu. Hệ thống tích hợp các chức năng quan trọng như đánh giá 16 kỹ năng lập trình qua 4 môn học, tự động phát hiện sinh viên nghi gian lận dựa trên thời gian"&amp;" làm bài, và xây dựng cơ sở dữ liệu cùng REST API để quản lý và đồng bộ thông tin hiệu quả.")</f>
        <v>Nội dung thực hiện tuân theo quy trình phát triển phần mềm toàn diện, sử dụng ngôn ngữ Python, framework Flask và thư viện Scikit-learn để xây dựng ứng dụng web và xử lý thuật toán. Nhóm tác giả tập trung phát triển thuật toán phân loại thông qua việc chuẩn hóa dữ liệu, sử dụng K-means để phân cụm và KNN để tinh chỉnh kết quả nhằm đạt độ chính xác tối ưu. Hệ thống tích hợp các chức năng quan trọng như đánh giá 16 kỹ năng lập trình qua 4 môn học, tự động phát hiện sinh viên nghi gian lận dựa trên thời gian làm bài, và xây dựng cơ sở dữ liệu cùng REST API để quản lý và đồng bộ thông tin hiệu quả.</v>
      </c>
      <c r="M57" s="9"/>
      <c r="N57" s="9"/>
      <c r="O57" s="9"/>
      <c r="P57" s="9"/>
      <c r="Q57" s="9" t="str">
        <f>IFERROR(__xludf.DUMMYFUNCTION("""COMPUTED_VALUE"""),"TNDHLTK22_202610515")</f>
        <v>TNDHLTK22_202610515</v>
      </c>
    </row>
    <row r="58">
      <c r="A58" s="10">
        <f>IFERROR(__xludf.DUMMYFUNCTION("""COMPUTED_VALUE"""),46017.376889837964)</f>
        <v>46017.37689</v>
      </c>
      <c r="B58" s="9" t="str">
        <f>IFERROR(__xludf.DUMMYFUNCTION("""COMPUTED_VALUE"""),"long.thanhphan04@gmail.com")</f>
        <v>long.thanhphan04@gmail.com</v>
      </c>
      <c r="C58" s="9">
        <f>IFERROR(__xludf.DUMMYFUNCTION("""COMPUTED_VALUE"""),1.22001446E8)</f>
        <v>122001446</v>
      </c>
      <c r="D58" s="9" t="str">
        <f>IFERROR(__xludf.DUMMYFUNCTION("""COMPUTED_VALUE"""),"Phan Thành Long")</f>
        <v>Phan Thành Long</v>
      </c>
      <c r="E58" s="9" t="str">
        <f>IFERROR(__xludf.DUMMYFUNCTION("""COMPUTED_VALUE"""),"0389579076")</f>
        <v>0389579076</v>
      </c>
      <c r="F58" s="9" t="str">
        <f>IFERROR(__xludf.DUMMYFUNCTION("""COMPUTED_VALUE"""),"22CT115")</f>
        <v>22CT115</v>
      </c>
      <c r="G58" s="9" t="str">
        <f>IFERROR(__xludf.DUMMYFUNCTION("""COMPUTED_VALUE"""),"Đặc cách tốt nghiệp")</f>
        <v>Đặc cách tốt nghiệp</v>
      </c>
      <c r="H58" s="9" t="str">
        <f>IFERROR(__xludf.DUMMYFUNCTION("""COMPUTED_VALUE"""),"Đặc cách tốt nghiệp")</f>
        <v>Đặc cách tốt nghiệp</v>
      </c>
      <c r="I58" s="9"/>
      <c r="J58" s="9"/>
      <c r="K58" s="9"/>
      <c r="L58" s="9"/>
      <c r="M58" s="9"/>
      <c r="N58" s="9"/>
      <c r="O58" s="9">
        <f>IFERROR(__xludf.DUMMYFUNCTION("""COMPUTED_VALUE"""),8.0)</f>
        <v>8</v>
      </c>
      <c r="P58" s="11" t="str">
        <f>IFERROR(__xludf.DUMMYFUNCTION("""COMPUTED_VALUE"""),"https://drive.google.com/open?id=1MdOLX6HmZnSR8ggvv2-oddz-h5xYhq5z")</f>
        <v>https://drive.google.com/open?id=1MdOLX6HmZnSR8ggvv2-oddz-h5xYhq5z</v>
      </c>
      <c r="Q58" s="9" t="str">
        <f>IFERROR(__xludf.DUMMYFUNCTION("""COMPUTED_VALUE"""),"TNDHLTK22_202610515")</f>
        <v>TNDHLTK22_202610515</v>
      </c>
    </row>
    <row r="59">
      <c r="A59" s="10">
        <f>IFERROR(__xludf.DUMMYFUNCTION("""COMPUTED_VALUE"""),46017.37805944444)</f>
        <v>46017.37806</v>
      </c>
      <c r="B59" s="9" t="str">
        <f>IFERROR(__xludf.DUMMYFUNCTION("""COMPUTED_VALUE"""),"luongvanthanh16052004@gmail.com")</f>
        <v>luongvanthanh16052004@gmail.com</v>
      </c>
      <c r="C59" s="9">
        <f>IFERROR(__xludf.DUMMYFUNCTION("""COMPUTED_VALUE"""),1.22000441E8)</f>
        <v>122000441</v>
      </c>
      <c r="D59" s="9" t="str">
        <f>IFERROR(__xludf.DUMMYFUNCTION("""COMPUTED_VALUE"""),"Lương Văn Thanh")</f>
        <v>Lương Văn Thanh</v>
      </c>
      <c r="E59" s="9" t="str">
        <f>IFERROR(__xludf.DUMMYFUNCTION("""COMPUTED_VALUE"""),"0373545572")</f>
        <v>0373545572</v>
      </c>
      <c r="F59" s="9" t="str">
        <f>IFERROR(__xludf.DUMMYFUNCTION("""COMPUTED_VALUE"""),"22CT114")</f>
        <v>22CT114</v>
      </c>
      <c r="G59" s="9" t="str">
        <f>IFERROR(__xludf.DUMMYFUNCTION("""COMPUTED_VALUE"""),"Thực hiện đồ án tốt nghiệp")</f>
        <v>Thực hiện đồ án tốt nghiệp</v>
      </c>
      <c r="H59" s="9" t="str">
        <f>IFERROR(__xludf.DUMMYFUNCTION("""COMPUTED_VALUE"""),"Hoàng Sỹ Hùng")</f>
        <v>Hoàng Sỹ Hùng</v>
      </c>
      <c r="I59" s="9" t="str">
        <f>IFERROR(__xludf.DUMMYFUNCTION("""COMPUTED_VALUE"""),"Hoàng Sỹ Hùng")</f>
        <v>Hoàng Sỹ Hùng</v>
      </c>
      <c r="J59" s="9" t="str">
        <f>IFERROR(__xludf.DUMMYFUNCTION("""COMPUTED_VALUE"""),"EventAI – Nền tảng quản lý sự kiện ứng dụng trí tuệ nhân tạo")</f>
        <v>EventAI – Nền tảng quản lý sự kiện ứng dụng trí tuệ nhân tạo</v>
      </c>
      <c r="K59" s="9" t="str">
        <f>IFERROR(__xludf.DUMMYFUNCTION("""COMPUTED_VALUE"""),"Đề tài hướng đến việc xây dựng một ứng dụng quản lý sự kiện có tích hợp trí tuệ nhân tạo, nhằm hỗ trợ việc tổ chức các hoạt động và đặc biệt là phân tích tự động các ý kiến đánh giá từ người tham dự.
Ứng dụng AI vào xử lý phản hồi: Sử dụng các thuật toán "&amp;"phân tích ngôn ngữ để hiểu được người tham gia cảm thấy hài lòng hay chưa hài lòng về sự kiện. Nhóm các ý kiến liên quan theo từng khía cạnh như chương trình, địa điểm, diễn giả để dễ đánh giá. Tạo ra các báo cáo tổng hợp kèm biểu đồ giúp ban tổ chức nắm "&amp;"bắt nhanh chất lượng sự kiện.
Thiết kế một quy trình bán vé trực tuyến hiệu quả: Xây dựng mô hình quản lý bán vé đa kênh online để tối đa hóa doanh thu và đơn giản hóa quy trình đăng ký cho người tham dự.
Đảm bảo tính bảo mật và chính xác: Phát triển các "&amp;"cơ chế mã hóa và xác thực để đảm bảo tính bảo mật của thông tin giao dịch và ngăn chặn vé giả.
Tối ưu hóa tốc độ Check-in/Check-out: Nghiên cứu và áp dụng các công nghệ nhận diện (ví dụ: QR Code, NFC) để giảm thời gian chờ đợi trung bình, đảm bảo quy trìn"&amp;"h diễn ra nhanh chóng giảm thời gian check-in trung bình xuống.
Đề tài giúp giải quyết bài toán thực tế là việc xử lý hàng trăm phản hồi sau sự kiện thường tốn nhiều thời gian và dễ bỏ sót thông tin quan trọng. Bằng cách áp dụng AI, ban tổ chức có thể nha"&amp;"nh chóng hiểu được điểm mạnh và điểm cần cải thiện, từ đó nâng cao chất lượng cho các lần tổ chức sau.
")</f>
        <v>Đề tài hướng đến việc xây dựng một ứng dụng quản lý sự kiện có tích hợp trí tuệ nhân tạo, nhằm hỗ trợ việc tổ chức các hoạt động và đặc biệt là phân tích tự động các ý kiến đánh giá từ người tham dự.
Ứng dụng AI vào xử lý phản hồi: Sử dụng các thuật toán phân tích ngôn ngữ để hiểu được người tham gia cảm thấy hài lòng hay chưa hài lòng về sự kiện. Nhóm các ý kiến liên quan theo từng khía cạnh như chương trình, địa điểm, diễn giả để dễ đánh giá. Tạo ra các báo cáo tổng hợp kèm biểu đồ giúp ban tổ chức nắm bắt nhanh chất lượng sự kiện.
Thiết kế một quy trình bán vé trực tuyến hiệu quả: Xây dựng mô hình quản lý bán vé đa kênh online để tối đa hóa doanh thu và đơn giản hóa quy trình đăng ký cho người tham dự.
Đảm bảo tính bảo mật và chính xác: Phát triển các cơ chế mã hóa và xác thực để đảm bảo tính bảo mật của thông tin giao dịch và ngăn chặn vé giả.
Tối ưu hóa tốc độ Check-in/Check-out: Nghiên cứu và áp dụng các công nghệ nhận diện (ví dụ: QR Code, NFC) để giảm thời gian chờ đợi trung bình, đảm bảo quy trình diễn ra nhanh chóng giảm thời gian check-in trung bình xuống.
Đề tài giúp giải quyết bài toán thực tế là việc xử lý hàng trăm phản hồi sau sự kiện thường tốn nhiều thời gian và dễ bỏ sót thông tin quan trọng. Bằng cách áp dụng AI, ban tổ chức có thể nhanh chóng hiểu được điểm mạnh và điểm cần cải thiện, từ đó nâng cao chất lượng cho các lần tổ chức sau.
</v>
      </c>
      <c r="L59" s="9" t="str">
        <f>IFERROR(__xludf.DUMMYFUNCTION("""COMPUTED_VALUE"""),"Hoàn thiện Hệ thống quản lý EventAI có thể hoạt động ổn định trên môi trường thực tế.
")</f>
        <v>Hoàn thiện Hệ thống quản lý EventAI có thể hoạt động ổn định trên môi trường thực tế.
</v>
      </c>
      <c r="M59" s="9"/>
      <c r="N59" s="9"/>
      <c r="O59" s="9"/>
      <c r="P59" s="9"/>
      <c r="Q59" s="9" t="str">
        <f>IFERROR(__xludf.DUMMYFUNCTION("""COMPUTED_VALUE"""),"TNDHLTK22_202610515")</f>
        <v>TNDHLTK22_202610515</v>
      </c>
    </row>
    <row r="60">
      <c r="A60" s="10">
        <f>IFERROR(__xludf.DUMMYFUNCTION("""COMPUTED_VALUE"""),46017.38359653935)</f>
        <v>46017.3836</v>
      </c>
      <c r="B60" s="9" t="str">
        <f>IFERROR(__xludf.DUMMYFUNCTION("""COMPUTED_VALUE"""),"minhnguyen.eth@gmail.com")</f>
        <v>minhnguyen.eth@gmail.com</v>
      </c>
      <c r="C60" s="9">
        <f>IFERROR(__xludf.DUMMYFUNCTION("""COMPUTED_VALUE"""),1.2200081E8)</f>
        <v>122000810</v>
      </c>
      <c r="D60" s="9" t="str">
        <f>IFERROR(__xludf.DUMMYFUNCTION("""COMPUTED_VALUE"""),"Nguyễn Văn Minh")</f>
        <v>Nguyễn Văn Minh</v>
      </c>
      <c r="E60" s="9" t="str">
        <f>IFERROR(__xludf.DUMMYFUNCTION("""COMPUTED_VALUE"""),"0378818596")</f>
        <v>0378818596</v>
      </c>
      <c r="F60" s="9" t="str">
        <f>IFERROR(__xludf.DUMMYFUNCTION("""COMPUTED_VALUE"""),"22CT113")</f>
        <v>22CT113</v>
      </c>
      <c r="G60" s="9" t="str">
        <f>IFERROR(__xludf.DUMMYFUNCTION("""COMPUTED_VALUE"""),"Thực hiện đồ án tốt nghiệp")</f>
        <v>Thực hiện đồ án tốt nghiệp</v>
      </c>
      <c r="H60" s="9" t="str">
        <f>IFERROR(__xludf.DUMMYFUNCTION("""COMPUTED_VALUE"""),"Hoàng Sỹ Hùng ")</f>
        <v>Hoàng Sỹ Hùng </v>
      </c>
      <c r="I60" s="9" t="str">
        <f>IFERROR(__xludf.DUMMYFUNCTION("""COMPUTED_VALUE"""),"Hoàng Sỹ Hùng ")</f>
        <v>Hoàng Sỹ Hùng </v>
      </c>
      <c r="J60" s="9" t="str">
        <f>IFERROR(__xludf.DUMMYFUNCTION("""COMPUTED_VALUE"""),"Kiểm thử tự động ứng dụng Web sử dụng Playwright ")</f>
        <v>Kiểm thử tự động ứng dụng Web sử dụng Playwright </v>
      </c>
      <c r="K60" s="9" t="str">
        <f>IFERROR(__xludf.DUMMYFUNCTION("""COMPUTED_VALUE"""),"Nghiên cứu tổng quan về kiểm thử phần mềm và kiểm thử tự động trong phát triển ứng dụng Web.
Tìm hiểu và áp dụng công cụ Playwright để xây dựng hệ thống kiểm thử tự động End-to-End.
Thiết kế và triển khai framework kiểm thử theo mô hình Page Object Mode"&amp;"l (POM) nhằm nâng cao khả năng tái sử dụng và bảo trì mã nguồn.
Thực hiện kiểm thử các chức năng, nghiệp vụ của hệ thống Web 
Đánh giá hiệu quả của kiểm thử tự động so với kiểm thử thủ công về thời gian, độ ổn định và khả năng phát hiện lỗi.")</f>
        <v>Nghiên cứu tổng quan về kiểm thử phần mềm và kiểm thử tự động trong phát triển ứng dụng Web.
Tìm hiểu và áp dụng công cụ Playwright để xây dựng hệ thống kiểm thử tự động End-to-End.
Thiết kế và triển khai framework kiểm thử theo mô hình Page Object Model (POM) nhằm nâng cao khả năng tái sử dụng và bảo trì mã nguồn.
Thực hiện kiểm thử các chức năng, nghiệp vụ của hệ thống Web 
Đánh giá hiệu quả của kiểm thử tự động so với kiểm thử thủ công về thời gian, độ ổn định và khả năng phát hiện lỗi.</v>
      </c>
      <c r="L60" s="9" t="str">
        <f>IFERROR(__xludf.DUMMYFUNCTION("""COMPUTED_VALUE"""),"1. Tổng quan về kiểm thử phần mềm
 - Khái niệm kiểm thử phần mềm.
 - Phân loại kiểm thử (Manual Testing, Automation Testing).
 - Vai trò của kiểm thử tự động trong quy trình phát triển phần mềm.
2. Giới thiệu công cụ Playwright
 - Tổng quan về Playwright"&amp;".
 - So sánh Playwright với một số công cụ kiểm thử Web khác (Selenium rất phổ biến)
 - Các tính năng chính của Playwright.
3. Thiết kế framework kiểm thử tự động
 - Kiến trúc framework kiểm thử.
 - Áp dụng mô hình Page Object Model (POM).
 - Xây dựng cá"&amp;"c lớp dùng chung (Base Page, Helper, Utils).
4. Triển khai kiểm thử tự động
 - Xây dựng các test case kiểm thử End-to-End cho hệ thống Web.
 - Thực hiện kiểm thử trên nhiều trình duyệt.
 - Tích hợp Allure Report để báo cáo kết quả kiểm thử 
5. Đánh giá "&amp;"và kết luận
 - Đánh giá kết quả đạt được.
 - Ưu điểm, hạn chế của giải pháp.
")</f>
        <v>1. Tổng quan về kiểm thử phần mềm
 - Khái niệm kiểm thử phần mềm.
 - Phân loại kiểm thử (Manual Testing, Automation Testing).
 - Vai trò của kiểm thử tự động trong quy trình phát triển phần mềm.
2. Giới thiệu công cụ Playwright
 - Tổng quan về Playwright.
 - So sánh Playwright với một số công cụ kiểm thử Web khác (Selenium rất phổ biến)
 - Các tính năng chính của Playwright.
3. Thiết kế framework kiểm thử tự động
 - Kiến trúc framework kiểm thử.
 - Áp dụng mô hình Page Object Model (POM).
 - Xây dựng các lớp dùng chung (Base Page, Helper, Utils).
4. Triển khai kiểm thử tự động
 - Xây dựng các test case kiểm thử End-to-End cho hệ thống Web.
 - Thực hiện kiểm thử trên nhiều trình duyệt.
 - Tích hợp Allure Report để báo cáo kết quả kiểm thử 
5. Đánh giá và kết luận
 - Đánh giá kết quả đạt được.
 - Ưu điểm, hạn chế của giải pháp.
</v>
      </c>
      <c r="M60" s="9"/>
      <c r="N60" s="9"/>
      <c r="O60" s="9"/>
      <c r="P60" s="9"/>
      <c r="Q60" s="9" t="str">
        <f>IFERROR(__xludf.DUMMYFUNCTION("""COMPUTED_VALUE"""),"TNDHLTK22_202610515")</f>
        <v>TNDHLTK22_202610515</v>
      </c>
    </row>
    <row r="61">
      <c r="A61" s="10">
        <f>IFERROR(__xludf.DUMMYFUNCTION("""COMPUTED_VALUE"""),46017.391948125005)</f>
        <v>46017.39195</v>
      </c>
      <c r="B61" s="9" t="str">
        <f>IFERROR(__xludf.DUMMYFUNCTION("""COMPUTED_VALUE"""),"duongdinhdang10@gmail.com")</f>
        <v>duongdinhdang10@gmail.com</v>
      </c>
      <c r="C61" s="9">
        <f>IFERROR(__xludf.DUMMYFUNCTION("""COMPUTED_VALUE"""),1.22000273E8)</f>
        <v>122000273</v>
      </c>
      <c r="D61" s="9" t="str">
        <f>IFERROR(__xludf.DUMMYFUNCTION("""COMPUTED_VALUE"""),"Dương Đình Đăng")</f>
        <v>Dương Đình Đăng</v>
      </c>
      <c r="E61" s="9" t="str">
        <f>IFERROR(__xludf.DUMMYFUNCTION("""COMPUTED_VALUE"""),"0917693916")</f>
        <v>0917693916</v>
      </c>
      <c r="F61" s="9" t="str">
        <f>IFERROR(__xludf.DUMMYFUNCTION("""COMPUTED_VALUE"""),"22CT112")</f>
        <v>22CT112</v>
      </c>
      <c r="G61" s="9" t="str">
        <f>IFERROR(__xludf.DUMMYFUNCTION("""COMPUTED_VALUE"""),"Thực hiện đồ án tốt nghiệp")</f>
        <v>Thực hiện đồ án tốt nghiệp</v>
      </c>
      <c r="H61" s="9" t="str">
        <f>IFERROR(__xludf.DUMMYFUNCTION("""COMPUTED_VALUE"""),"Nguyễn Minh Phúc")</f>
        <v>Nguyễn Minh Phúc</v>
      </c>
      <c r="I61" s="9"/>
      <c r="J61" s="9" t="str">
        <f>IFERROR(__xludf.DUMMYFUNCTION("""COMPUTED_VALUE"""),"Xây dựng module phân loại và chia nhóm học tập cho sinh viên theo nhiều tiêu chí")</f>
        <v>Xây dựng module phân loại và chia nhóm học tập cho sinh viên theo nhiều tiêu chí</v>
      </c>
      <c r="K61" s="9" t="str">
        <f>IFERROR(__xludf.DUMMYFUNCTION("""COMPUTED_VALUE"""),"xây dưng một module hoàn chỉnh")</f>
        <v>xây dưng một module hoàn chỉnh</v>
      </c>
      <c r="L61" s="9" t="str">
        <f>IFERROR(__xludf.DUMMYFUNCTION("""COMPUTED_VALUE"""),"Bắt đầu xây dựng app")</f>
        <v>Bắt đầu xây dựng app</v>
      </c>
      <c r="M61" s="9"/>
      <c r="N61" s="9"/>
      <c r="O61" s="9"/>
      <c r="P61" s="9"/>
      <c r="Q61" s="9" t="str">
        <f>IFERROR(__xludf.DUMMYFUNCTION("""COMPUTED_VALUE"""),"TNDHLTK22_202610515")</f>
        <v>TNDHLTK22_202610515</v>
      </c>
    </row>
    <row r="62">
      <c r="A62" s="10">
        <f>IFERROR(__xludf.DUMMYFUNCTION("""COMPUTED_VALUE"""),46017.39285041667)</f>
        <v>46017.39285</v>
      </c>
      <c r="B62" s="9" t="str">
        <f>IFERROR(__xludf.DUMMYFUNCTION("""COMPUTED_VALUE"""),"nguyentam050404@gmail.com")</f>
        <v>nguyentam050404@gmail.com</v>
      </c>
      <c r="C62" s="9">
        <f>IFERROR(__xludf.DUMMYFUNCTION("""COMPUTED_VALUE"""),1.22000118E8)</f>
        <v>122000118</v>
      </c>
      <c r="D62" s="9" t="str">
        <f>IFERROR(__xludf.DUMMYFUNCTION("""COMPUTED_VALUE"""),"Nguyễn Khánh Tâm")</f>
        <v>Nguyễn Khánh Tâm</v>
      </c>
      <c r="E62" s="9" t="str">
        <f>IFERROR(__xludf.DUMMYFUNCTION("""COMPUTED_VALUE"""),"0963296424")</f>
        <v>0963296424</v>
      </c>
      <c r="F62" s="9" t="str">
        <f>IFERROR(__xludf.DUMMYFUNCTION("""COMPUTED_VALUE"""),"22CT112")</f>
        <v>22CT112</v>
      </c>
      <c r="G62" s="9" t="str">
        <f>IFERROR(__xludf.DUMMYFUNCTION("""COMPUTED_VALUE"""),"Thực hiện đồ án tốt nghiệp")</f>
        <v>Thực hiện đồ án tốt nghiệp</v>
      </c>
      <c r="H62" s="9" t="str">
        <f>IFERROR(__xludf.DUMMYFUNCTION("""COMPUTED_VALUE"""),"Nguyễn Minh Phúc")</f>
        <v>Nguyễn Minh Phúc</v>
      </c>
      <c r="I62" s="9"/>
      <c r="J62" s="9" t="str">
        <f>IFERROR(__xludf.DUMMYFUNCTION("""COMPUTED_VALUE"""),"Xây dựng module phân loại và chia nhóm học tập cho sinh viên theo nhiều tiêu chí")</f>
        <v>Xây dựng module phân loại và chia nhóm học tập cho sinh viên theo nhiều tiêu chí</v>
      </c>
      <c r="K62" s="9" t="str">
        <f>IFERROR(__xludf.DUMMYFUNCTION("""COMPUTED_VALUE"""),"Xây dựng thành công công cụ phân loại và chia nhóm có thể tích hợp vào LMS")</f>
        <v>Xây dựng thành công công cụ phân loại và chia nhóm có thể tích hợp vào LMS</v>
      </c>
      <c r="L62" s="9" t="str">
        <f>IFERROR(__xludf.DUMMYFUNCTION("""COMPUTED_VALUE"""),"Xây dựng công cụ phân loại và chia nhóm cho sinh viên có thể tích hợp được vào LMS")</f>
        <v>Xây dựng công cụ phân loại và chia nhóm cho sinh viên có thể tích hợp được vào LMS</v>
      </c>
      <c r="M62" s="9"/>
      <c r="N62" s="9"/>
      <c r="O62" s="9"/>
      <c r="P62" s="9"/>
      <c r="Q62" s="9" t="str">
        <f>IFERROR(__xludf.DUMMYFUNCTION("""COMPUTED_VALUE"""),"TNDHLTK22_202610515")</f>
        <v>TNDHLTK22_202610515</v>
      </c>
    </row>
    <row r="63">
      <c r="A63" s="10">
        <f>IFERROR(__xludf.DUMMYFUNCTION("""COMPUTED_VALUE"""),46017.4509428125)</f>
        <v>46017.45094</v>
      </c>
      <c r="B63" s="9" t="str">
        <f>IFERROR(__xludf.DUMMYFUNCTION("""COMPUTED_VALUE"""),"nhan886990@gmail.com")</f>
        <v>nhan886990@gmail.com</v>
      </c>
      <c r="C63" s="9">
        <f>IFERROR(__xludf.DUMMYFUNCTION("""COMPUTED_VALUE"""),1.22000564E8)</f>
        <v>122000564</v>
      </c>
      <c r="D63" s="9" t="str">
        <f>IFERROR(__xludf.DUMMYFUNCTION("""COMPUTED_VALUE"""),"Nguyễn Thành Nhân")</f>
        <v>Nguyễn Thành Nhân</v>
      </c>
      <c r="E63" s="9" t="str">
        <f>IFERROR(__xludf.DUMMYFUNCTION("""COMPUTED_VALUE"""),"0933669137")</f>
        <v>0933669137</v>
      </c>
      <c r="F63" s="9" t="str">
        <f>IFERROR(__xludf.DUMMYFUNCTION("""COMPUTED_VALUE"""),"22CT113")</f>
        <v>22CT113</v>
      </c>
      <c r="G63" s="9" t="str">
        <f>IFERROR(__xludf.DUMMYFUNCTION("""COMPUTED_VALUE"""),"Thực hiện đồ án tốt nghiệp")</f>
        <v>Thực hiện đồ án tốt nghiệp</v>
      </c>
      <c r="H63" s="9" t="str">
        <f>IFERROR(__xludf.DUMMYFUNCTION("""COMPUTED_VALUE"""),"Đoàn Thiện Minh")</f>
        <v>Đoàn Thiện Minh</v>
      </c>
      <c r="I63" s="9"/>
      <c r="J63" s="9" t="str">
        <f>IFERROR(__xludf.DUMMYFUNCTION("""COMPUTED_VALUE"""),"Ứng dụng phát hiện bệnh lúa qua ảnh")</f>
        <v>Ứng dụng phát hiện bệnh lúa qua ảnh</v>
      </c>
      <c r="K63" s="9" t="str">
        <f>IFERROR(__xludf.DUMMYFUNCTION("""COMPUTED_VALUE"""),"Hoàn Thành App dùng trơn tru")</f>
        <v>Hoàn Thành App dùng trơn tru</v>
      </c>
      <c r="L63" s="9" t="str">
        <f>IFERROR(__xludf.DUMMYFUNCTION("""COMPUTED_VALUE"""),"Phát triển thêm ")</f>
        <v>Phát triển thêm </v>
      </c>
      <c r="M63" s="9"/>
      <c r="N63" s="9"/>
      <c r="O63" s="9"/>
      <c r="P63" s="9"/>
      <c r="Q63" s="9" t="str">
        <f>IFERROR(__xludf.DUMMYFUNCTION("""COMPUTED_VALUE"""),"TNDHLTK22_202610515")</f>
        <v>TNDHLTK22_202610515</v>
      </c>
    </row>
    <row r="64">
      <c r="A64" s="10">
        <f>IFERROR(__xludf.DUMMYFUNCTION("""COMPUTED_VALUE"""),46017.48009424769)</f>
        <v>46017.48009</v>
      </c>
      <c r="B64" s="9" t="str">
        <f>IFERROR(__xludf.DUMMYFUNCTION("""COMPUTED_VALUE"""),"minhquan9999923@gmail.com")</f>
        <v>minhquan9999923@gmail.com</v>
      </c>
      <c r="C64" s="9">
        <f>IFERROR(__xludf.DUMMYFUNCTION("""COMPUTED_VALUE"""),1.22000295E8)</f>
        <v>122000295</v>
      </c>
      <c r="D64" s="9" t="str">
        <f>IFERROR(__xludf.DUMMYFUNCTION("""COMPUTED_VALUE"""),"Đặng Hoàng Minh Quân")</f>
        <v>Đặng Hoàng Minh Quân</v>
      </c>
      <c r="E64" s="9" t="str">
        <f>IFERROR(__xludf.DUMMYFUNCTION("""COMPUTED_VALUE"""),"0976026004")</f>
        <v>0976026004</v>
      </c>
      <c r="F64" s="9" t="str">
        <f>IFERROR(__xludf.DUMMYFUNCTION("""COMPUTED_VALUE"""),"22CT113")</f>
        <v>22CT113</v>
      </c>
      <c r="G64" s="9" t="str">
        <f>IFERROR(__xludf.DUMMYFUNCTION("""COMPUTED_VALUE"""),"Đặc cách tốt nghiệp")</f>
        <v>Đặc cách tốt nghiệp</v>
      </c>
      <c r="H64" s="9" t="str">
        <f>IFERROR(__xludf.DUMMYFUNCTION("""COMPUTED_VALUE"""),"Đặc cách tốt nghiệp")</f>
        <v>Đặc cách tốt nghiệp</v>
      </c>
      <c r="I64" s="9"/>
      <c r="J64" s="9"/>
      <c r="K64" s="9"/>
      <c r="L64" s="9"/>
      <c r="M64" s="9"/>
      <c r="N64" s="9" t="str">
        <f>IFERROR(__xludf.DUMMYFUNCTION("""COMPUTED_VALUE"""),"Đạt giải 3 toàn quốc cuộc thi sáng tạo Robocon Việt Nam 2025")</f>
        <v>Đạt giải 3 toàn quốc cuộc thi sáng tạo Robocon Việt Nam 2025</v>
      </c>
      <c r="O64" s="9">
        <f>IFERROR(__xludf.DUMMYFUNCTION("""COMPUTED_VALUE"""),10.0)</f>
        <v>10</v>
      </c>
      <c r="P64" s="11" t="str">
        <f>IFERROR(__xludf.DUMMYFUNCTION("""COMPUTED_VALUE"""),"https://drive.google.com/open?id=1yYDqFL6UemLFt0hLakEgTTlneWtOY75I")</f>
        <v>https://drive.google.com/open?id=1yYDqFL6UemLFt0hLakEgTTlneWtOY75I</v>
      </c>
      <c r="Q64" s="9" t="str">
        <f>IFERROR(__xludf.DUMMYFUNCTION("""COMPUTED_VALUE"""),"TNDHLTK22_202610515")</f>
        <v>TNDHLTK22_202610515</v>
      </c>
    </row>
    <row r="65">
      <c r="A65" s="10">
        <f>IFERROR(__xludf.DUMMYFUNCTION("""COMPUTED_VALUE"""),46017.50095336806)</f>
        <v>46017.50095</v>
      </c>
      <c r="B65" s="9" t="str">
        <f>IFERROR(__xludf.DUMMYFUNCTION("""COMPUTED_VALUE"""),"hp8888377@gmail.com")</f>
        <v>hp8888377@gmail.com</v>
      </c>
      <c r="C65" s="9">
        <f>IFERROR(__xludf.DUMMYFUNCTION("""COMPUTED_VALUE"""),1.22000405E8)</f>
        <v>122000405</v>
      </c>
      <c r="D65" s="9" t="str">
        <f>IFERROR(__xludf.DUMMYFUNCTION("""COMPUTED_VALUE"""),"Phan Trần Trung Hiếu")</f>
        <v>Phan Trần Trung Hiếu</v>
      </c>
      <c r="E65" s="9" t="str">
        <f>IFERROR(__xludf.DUMMYFUNCTION("""COMPUTED_VALUE"""),"0798032210")</f>
        <v>0798032210</v>
      </c>
      <c r="F65" s="9" t="str">
        <f>IFERROR(__xludf.DUMMYFUNCTION("""COMPUTED_VALUE"""),"22ct113")</f>
        <v>22ct113</v>
      </c>
      <c r="G65" s="9" t="str">
        <f>IFERROR(__xludf.DUMMYFUNCTION("""COMPUTED_VALUE"""),"Thực hiện đồ án tốt nghiệp")</f>
        <v>Thực hiện đồ án tốt nghiệp</v>
      </c>
      <c r="H65" s="9" t="str">
        <f>IFERROR(__xludf.DUMMYFUNCTION("""COMPUTED_VALUE"""),"Đoàn Thiện Minh")</f>
        <v>Đoàn Thiện Minh</v>
      </c>
      <c r="I65" s="9"/>
      <c r="J65" s="9" t="str">
        <f>IFERROR(__xludf.DUMMYFUNCTION("""COMPUTED_VALUE"""),"Ứng dụng phát hiện bệnh lúa qua ảnh")</f>
        <v>Ứng dụng phát hiện bệnh lúa qua ảnh</v>
      </c>
      <c r="K65" s="9" t="str">
        <f>IFERROR(__xludf.DUMMYFUNCTION("""COMPUTED_VALUE"""),"phát hiện bệnh lá lúa")</f>
        <v>phát hiện bệnh lá lúa</v>
      </c>
      <c r="L65" s="9" t="str">
        <f>IFERROR(__xludf.DUMMYFUNCTION("""COMPUTED_VALUE"""),"làm app")</f>
        <v>làm app</v>
      </c>
      <c r="M65" s="9"/>
      <c r="N65" s="9"/>
      <c r="O65" s="9"/>
      <c r="P65" s="9"/>
      <c r="Q65" s="9" t="str">
        <f>IFERROR(__xludf.DUMMYFUNCTION("""COMPUTED_VALUE"""),"TNDHLTK22_202610515")</f>
        <v>TNDHLTK22_202610515</v>
      </c>
    </row>
    <row r="66">
      <c r="A66" s="10">
        <f>IFERROR(__xludf.DUMMYFUNCTION("""COMPUTED_VALUE"""),46017.55425616898)</f>
        <v>46017.55426</v>
      </c>
      <c r="B66" s="9" t="str">
        <f>IFERROR(__xludf.DUMMYFUNCTION("""COMPUTED_VALUE"""),"tuanpham15042003@gmail.com")</f>
        <v>tuanpham15042003@gmail.com</v>
      </c>
      <c r="C66" s="9">
        <f>IFERROR(__xludf.DUMMYFUNCTION("""COMPUTED_VALUE"""),1.22000391E8)</f>
        <v>122000391</v>
      </c>
      <c r="D66" s="9" t="str">
        <f>IFERROR(__xludf.DUMMYFUNCTION("""COMPUTED_VALUE"""),"Phạm Minh Tuấn")</f>
        <v>Phạm Minh Tuấn</v>
      </c>
      <c r="E66" s="9" t="str">
        <f>IFERROR(__xludf.DUMMYFUNCTION("""COMPUTED_VALUE"""),"0988026131")</f>
        <v>0988026131</v>
      </c>
      <c r="F66" s="9" t="str">
        <f>IFERROR(__xludf.DUMMYFUNCTION("""COMPUTED_VALUE"""),"22CT114")</f>
        <v>22CT114</v>
      </c>
      <c r="G66" s="9" t="str">
        <f>IFERROR(__xludf.DUMMYFUNCTION("""COMPUTED_VALUE"""),"Thực hiện đồ án tốt nghiệp")</f>
        <v>Thực hiện đồ án tốt nghiệp</v>
      </c>
      <c r="H66" s="9" t="str">
        <f>IFERROR(__xludf.DUMMYFUNCTION("""COMPUTED_VALUE"""),"Bùi Xuân Cảnh")</f>
        <v>Bùi Xuân Cảnh</v>
      </c>
      <c r="I66" s="9"/>
      <c r="J66" s="9" t="str">
        <f>IFERROR(__xludf.DUMMYFUNCTION("""COMPUTED_VALUE"""),"Website bán máy Laptop,PC,điện thoại.")</f>
        <v>Website bán máy Laptop,PC,điện thoại.</v>
      </c>
      <c r="K66" s="9" t="str">
        <f>IFERROR(__xludf.DUMMYFUNCTION("""COMPUTED_VALUE"""),"Làm trang web hướng tới chăm sóc khách hàng , có thể biết khách hàng cần gì thông qua lịch sử tìm kiếm của khách hàng để tích hợp AI gợi ý sản phẩm cho khách hàng ngay mà khách hàng không phải tự tìm kiếm .")</f>
        <v>Làm trang web hướng tới chăm sóc khách hàng , có thể biết khách hàng cần gì thông qua lịch sử tìm kiếm của khách hàng để tích hợp AI gợi ý sản phẩm cho khách hàng ngay mà khách hàng không phải tự tìm kiếm .</v>
      </c>
      <c r="L66" s="9" t="str">
        <f>IFERROR(__xludf.DUMMYFUNCTION("""COMPUTED_VALUE"""),"Hoàn thiện hơn Website sẵn có và đưa gần tới mọi người dùng có như cầu mua Laptop,PC,điện thoại.")</f>
        <v>Hoàn thiện hơn Website sẵn có và đưa gần tới mọi người dùng có như cầu mua Laptop,PC,điện thoại.</v>
      </c>
      <c r="M66" s="9"/>
      <c r="N66" s="9"/>
      <c r="O66" s="9"/>
      <c r="P66" s="9"/>
      <c r="Q66" s="9" t="str">
        <f>IFERROR(__xludf.DUMMYFUNCTION("""COMPUTED_VALUE"""),"TNDHLTK22_202610515")</f>
        <v>TNDHLTK22_202610515</v>
      </c>
    </row>
    <row r="67">
      <c r="A67" s="10">
        <f>IFERROR(__xludf.DUMMYFUNCTION("""COMPUTED_VALUE"""),46017.604302824075)</f>
        <v>46017.6043</v>
      </c>
      <c r="B67" s="9" t="str">
        <f>IFERROR(__xludf.DUMMYFUNCTION("""COMPUTED_VALUE"""),"hungvan2004adc@gmail.com")</f>
        <v>hungvan2004adc@gmail.com</v>
      </c>
      <c r="C67" s="9">
        <f>IFERROR(__xludf.DUMMYFUNCTION("""COMPUTED_VALUE"""),1.22000404E8)</f>
        <v>122000404</v>
      </c>
      <c r="D67" s="9" t="str">
        <f>IFERROR(__xludf.DUMMYFUNCTION("""COMPUTED_VALUE"""),"Trần Văn Hưng")</f>
        <v>Trần Văn Hưng</v>
      </c>
      <c r="E67" s="9" t="str">
        <f>IFERROR(__xludf.DUMMYFUNCTION("""COMPUTED_VALUE"""),"0848180018")</f>
        <v>0848180018</v>
      </c>
      <c r="F67" s="9" t="str">
        <f>IFERROR(__xludf.DUMMYFUNCTION("""COMPUTED_VALUE"""),"22CT111")</f>
        <v>22CT111</v>
      </c>
      <c r="G67" s="9" t="str">
        <f>IFERROR(__xludf.DUMMYFUNCTION("""COMPUTED_VALUE"""),"Thực hiện đồ án tốt nghiệp")</f>
        <v>Thực hiện đồ án tốt nghiệp</v>
      </c>
      <c r="H67" s="9" t="str">
        <f>IFERROR(__xludf.DUMMYFUNCTION("""COMPUTED_VALUE"""),"Nguyễn Minh Phúc")</f>
        <v>Nguyễn Minh Phúc</v>
      </c>
      <c r="I67" s="9"/>
      <c r="J67" s="9" t="str">
        <f>IFERROR(__xludf.DUMMYFUNCTION("""COMPUTED_VALUE"""),"XÂY DỰNG HỆ THỐNG CHẤM ĐIỂM PYTHON TỰ ĐỘNG TRÊN LMS - CẤU TRÚC DỮ LIỆU VÀ GIẢI THUẬT")</f>
        <v>XÂY DỰNG HỆ THỐNG CHẤM ĐIỂM PYTHON TỰ ĐỘNG TRÊN LMS - CẤU TRÚC DỮ LIỆU VÀ GIẢI THUẬT</v>
      </c>
      <c r="K67" s="9" t="str">
        <f>IFERROR(__xludf.DUMMYFUNCTION("""COMPUTED_VALUE"""),"Xây dựng hệ thống web có khả năng chấm điểm tự động cho các bài tập Python về CTDL &amp; GT. ")</f>
        <v>Xây dựng hệ thống web có khả năng chấm điểm tự động cho các bài tập Python về CTDL &amp; GT. </v>
      </c>
      <c r="L67" s="9" t="str">
        <f>IFERROR(__xludf.DUMMYFUNCTION("""COMPUTED_VALUE"""),"Đồ án xây dựng hệ thống chấm điểm Python tự động - Cấu trúc dữ liệu và giải thuật sử dụng các công nghệ hiện đại như Next.js, Firebase Genkit và Google Gemini. Hệ thống có khả năng đánh giá đa chiều bao gồm độ chính xác, lỗi logic, độ phức tạp Big O và đư"&amp;"a ra gợi ý cải thiện mã nguồn dựa trên kỹ thuật Prompt Engineering.")</f>
        <v>Đồ án xây dựng hệ thống chấm điểm Python tự động - Cấu trúc dữ liệu và giải thuật sử dụng các công nghệ hiện đại như Next.js, Firebase Genkit và Google Gemini. Hệ thống có khả năng đánh giá đa chiều bao gồm độ chính xác, lỗi logic, độ phức tạp Big O và đưa ra gợi ý cải thiện mã nguồn dựa trên kỹ thuật Prompt Engineering.</v>
      </c>
      <c r="M67" s="9" t="str">
        <f>IFERROR(__xludf.DUMMYFUNCTION("""COMPUTED_VALUE"""),"Mong muốn được viết báo dựa trên đề tài này")</f>
        <v>Mong muốn được viết báo dựa trên đề tài này</v>
      </c>
      <c r="N67" s="9"/>
      <c r="O67" s="9"/>
      <c r="P67" s="9"/>
      <c r="Q67" s="9" t="str">
        <f>IFERROR(__xludf.DUMMYFUNCTION("""COMPUTED_VALUE"""),"TNDHLTK22_202610515")</f>
        <v>TNDHLTK22_202610515</v>
      </c>
    </row>
    <row r="68">
      <c r="A68" s="10">
        <f>IFERROR(__xludf.DUMMYFUNCTION("""COMPUTED_VALUE"""),46017.60694783565)</f>
        <v>46017.60695</v>
      </c>
      <c r="B68" s="9" t="str">
        <f>IFERROR(__xludf.DUMMYFUNCTION("""COMPUTED_VALUE"""),"sanghuynh406@gmail.com")</f>
        <v>sanghuynh406@gmail.com</v>
      </c>
      <c r="C68" s="9">
        <f>IFERROR(__xludf.DUMMYFUNCTION("""COMPUTED_VALUE"""),1.22000343E8)</f>
        <v>122000343</v>
      </c>
      <c r="D68" s="9" t="str">
        <f>IFERROR(__xludf.DUMMYFUNCTION("""COMPUTED_VALUE"""),"Huỳnh Minh Sang")</f>
        <v>Huỳnh Minh Sang</v>
      </c>
      <c r="E68" s="9" t="str">
        <f>IFERROR(__xludf.DUMMYFUNCTION("""COMPUTED_VALUE"""),"0961810760")</f>
        <v>0961810760</v>
      </c>
      <c r="F68" s="9" t="str">
        <f>IFERROR(__xludf.DUMMYFUNCTION("""COMPUTED_VALUE"""),"22CT111")</f>
        <v>22CT111</v>
      </c>
      <c r="G68" s="9" t="str">
        <f>IFERROR(__xludf.DUMMYFUNCTION("""COMPUTED_VALUE"""),"Thực hiện đồ án tốt nghiệp")</f>
        <v>Thực hiện đồ án tốt nghiệp</v>
      </c>
      <c r="H68" s="9" t="str">
        <f>IFERROR(__xludf.DUMMYFUNCTION("""COMPUTED_VALUE"""),"Nguyễn Minh Phúc")</f>
        <v>Nguyễn Minh Phúc</v>
      </c>
      <c r="I68" s="9"/>
      <c r="J68" s="9" t="str">
        <f>IFERROR(__xludf.DUMMYFUNCTION("""COMPUTED_VALUE"""),"XÂY DỰNG HỆ THỐNG CHẤM ĐIỂM PYTHON TỰ ĐỘNG TRÊN LMS - CẤU TRÚC DỮ LIỆU VÀ GIẢI THUẬT")</f>
        <v>XÂY DỰNG HỆ THỐNG CHẤM ĐIỂM PYTHON TỰ ĐỘNG TRÊN LMS - CẤU TRÚC DỮ LIỆU VÀ GIẢI THUẬT</v>
      </c>
      <c r="K68" s="9" t="str">
        <f>IFERROR(__xludf.DUMMYFUNCTION("""COMPUTED_VALUE"""),"Xây dựng hệ thống web có khả năng chấm điểm tự động cho các bài tập Python về CTDL &amp; GT. ")</f>
        <v>Xây dựng hệ thống web có khả năng chấm điểm tự động cho các bài tập Python về CTDL &amp; GT. </v>
      </c>
      <c r="L68" s="9" t="str">
        <f>IFERROR(__xludf.DUMMYFUNCTION("""COMPUTED_VALUE"""),"Đồ án xây dựng hệ thống chấm điểm Python tự động - Cấu trúc dữ liệu và giải thuật sử dụng các công nghệ hiện đại như Next.js, Firebase Genkit và Google Gemini. Hệ thống có khả năng đánh giá đa chiều bao gồm độ chính xác, lỗi logic, độ phức tạp Big O và đư"&amp;"a ra gợi ý cải thiện mã nguồn dựa trên kỹ thuật Prompt Engineering. ")</f>
        <v>Đồ án xây dựng hệ thống chấm điểm Python tự động - Cấu trúc dữ liệu và giải thuật sử dụng các công nghệ hiện đại như Next.js, Firebase Genkit và Google Gemini. Hệ thống có khả năng đánh giá đa chiều bao gồm độ chính xác, lỗi logic, độ phức tạp Big O và đưa ra gợi ý cải thiện mã nguồn dựa trên kỹ thuật Prompt Engineering. </v>
      </c>
      <c r="M68" s="9" t="str">
        <f>IFERROR(__xludf.DUMMYFUNCTION("""COMPUTED_VALUE"""),"Em mong muốn được viết báo dựa trên đề tài này ")</f>
        <v>Em mong muốn được viết báo dựa trên đề tài này </v>
      </c>
      <c r="N68" s="9"/>
      <c r="O68" s="9"/>
      <c r="P68" s="9"/>
      <c r="Q68" s="9" t="str">
        <f>IFERROR(__xludf.DUMMYFUNCTION("""COMPUTED_VALUE"""),"TNDHLTK22_202610515")</f>
        <v>TNDHLTK22_202610515</v>
      </c>
    </row>
    <row r="69">
      <c r="A69" s="10">
        <f>IFERROR(__xludf.DUMMYFUNCTION("""COMPUTED_VALUE"""),46017.65112059028)</f>
        <v>46017.65112</v>
      </c>
      <c r="B69" s="9" t="str">
        <f>IFERROR(__xludf.DUMMYFUNCTION("""COMPUTED_VALUE"""),"trantthuan1511@gmail.com")</f>
        <v>trantthuan1511@gmail.com</v>
      </c>
      <c r="C69" s="9">
        <f>IFERROR(__xludf.DUMMYFUNCTION("""COMPUTED_VALUE"""),1.2200086E8)</f>
        <v>122000860</v>
      </c>
      <c r="D69" s="9" t="str">
        <f>IFERROR(__xludf.DUMMYFUNCTION("""COMPUTED_VALUE"""),"Trần Trọng Thuận")</f>
        <v>Trần Trọng Thuận</v>
      </c>
      <c r="E69" s="9" t="str">
        <f>IFERROR(__xludf.DUMMYFUNCTION("""COMPUTED_VALUE"""),"0941619163")</f>
        <v>0941619163</v>
      </c>
      <c r="F69" s="9" t="str">
        <f>IFERROR(__xludf.DUMMYFUNCTION("""COMPUTED_VALUE"""),"22CT113")</f>
        <v>22CT113</v>
      </c>
      <c r="G69" s="9" t="str">
        <f>IFERROR(__xludf.DUMMYFUNCTION("""COMPUTED_VALUE"""),"Thực hiện đồ án tốt nghiệp")</f>
        <v>Thực hiện đồ án tốt nghiệp</v>
      </c>
      <c r="H69" s="9" t="str">
        <f>IFERROR(__xludf.DUMMYFUNCTION("""COMPUTED_VALUE"""),"Nguyễn Minh Sơn")</f>
        <v>Nguyễn Minh Sơn</v>
      </c>
      <c r="I69" s="9"/>
      <c r="J69" s="9" t="str">
        <f>IFERROR(__xludf.DUMMYFUNCTION("""COMPUTED_VALUE"""),"ỨNG DỤNG WEB TỰ ĐỘNG TẠO CÂU HỎI TRẮC NGHIỆM TỪ TÀI LIỆU ")</f>
        <v>ỨNG DỤNG WEB TỰ ĐỘNG TẠO CÂU HỎI TRẮC NGHIỆM TỪ TÀI LIỆU </v>
      </c>
      <c r="K69" s="9" t="str">
        <f>IFERROR(__xludf.DUMMYFUNCTION("""COMPUTED_VALUE"""),"Tự động hóa quy trình:
Xây dựng Agent AI có khả năng đọc hiểu đa định dạng (PDF, DOCX, MP3) để trích xuất kiến thức và sinh câu hỏi trắc nghiệm.
Nâng cao chất lượng đề thi:
Tích hợp cơ chế ""AI Reviewer"" để tự động chấm điểm câu hỏi dựa trên các tiêu chí"&amp;": Độ chính xác, Văn phong, và Chất lượng đáp án nhiễu.
Quản lý toàn diện:
Cung cấp công cụ quản lý thư viện câu hỏi, tạo đề thi tổ hợp, chia sẻ link làm bài trực tuyến, thống kê kết quả chi tiết cho người học và tích hợp LMS.")</f>
        <v>Tự động hóa quy trình:
Xây dựng Agent AI có khả năng đọc hiểu đa định dạng (PDF, DOCX, MP3) để trích xuất kiến thức và sinh câu hỏi trắc nghiệm.
Nâng cao chất lượng đề thi:
Tích hợp cơ chế "AI Reviewer" để tự động chấm điểm câu hỏi dựa trên các tiêu chí: Độ chính xác, Văn phong, và Chất lượng đáp án nhiễu.
Quản lý toàn diện:
Cung cấp công cụ quản lý thư viện câu hỏi, tạo đề thi tổ hợp, chia sẻ link làm bài trực tuyến, thống kê kết quả chi tiết cho người học và tích hợp LMS.</v>
      </c>
      <c r="L69" s="9" t="str">
        <f>IFERROR(__xludf.DUMMYFUNCTION("""COMPUTED_VALUE"""),"Hoàn thiện Core AI &amp; RAG
Nâng cấp chuẩn LTI 1.3 &amp; Deep Linking
Tối ưu hóa hiệu năng hệ thống")</f>
        <v>Hoàn thiện Core AI &amp; RAG
Nâng cấp chuẩn LTI 1.3 &amp; Deep Linking
Tối ưu hóa hiệu năng hệ thống</v>
      </c>
      <c r="M69" s="9"/>
      <c r="N69" s="9"/>
      <c r="O69" s="9"/>
      <c r="P69" s="9"/>
      <c r="Q69" s="9" t="str">
        <f>IFERROR(__xludf.DUMMYFUNCTION("""COMPUTED_VALUE"""),"TNDHLTK22_202610515")</f>
        <v>TNDHLTK22_202610515</v>
      </c>
    </row>
    <row r="70">
      <c r="A70" s="10">
        <f>IFERROR(__xludf.DUMMYFUNCTION("""COMPUTED_VALUE"""),46017.65147855324)</f>
        <v>46017.65148</v>
      </c>
      <c r="B70" s="9" t="str">
        <f>IFERROR(__xludf.DUMMYFUNCTION("""COMPUTED_VALUE"""),"bns050404@gmail.com")</f>
        <v>bns050404@gmail.com</v>
      </c>
      <c r="C70" s="9">
        <f>IFERROR(__xludf.DUMMYFUNCTION("""COMPUTED_VALUE"""),1.22001281E8)</f>
        <v>122001281</v>
      </c>
      <c r="D70" s="9" t="str">
        <f>IFERROR(__xludf.DUMMYFUNCTION("""COMPUTED_VALUE"""),"Bùi Ngọc Sơn")</f>
        <v>Bùi Ngọc Sơn</v>
      </c>
      <c r="E70" s="9" t="str">
        <f>IFERROR(__xludf.DUMMYFUNCTION("""COMPUTED_VALUE"""),"0398032901")</f>
        <v>0398032901</v>
      </c>
      <c r="F70" s="9" t="str">
        <f>IFERROR(__xludf.DUMMYFUNCTION("""COMPUTED_VALUE"""),"22CT113")</f>
        <v>22CT113</v>
      </c>
      <c r="G70" s="9" t="str">
        <f>IFERROR(__xludf.DUMMYFUNCTION("""COMPUTED_VALUE"""),"Thực hiện đồ án tốt nghiệp")</f>
        <v>Thực hiện đồ án tốt nghiệp</v>
      </c>
      <c r="H70" s="9" t="str">
        <f>IFERROR(__xludf.DUMMYFUNCTION("""COMPUTED_VALUE"""),"Nguyễn Minh Sơn")</f>
        <v>Nguyễn Minh Sơn</v>
      </c>
      <c r="I70" s="9"/>
      <c r="J70" s="9" t="str">
        <f>IFERROR(__xludf.DUMMYFUNCTION("""COMPUTED_VALUE"""),"ỨNG DỤNG WEB TỰ ĐỘNG TẠO CÂU HỎI TRẮC NGHIỆM TỪ TÀI LIỆU ")</f>
        <v>ỨNG DỤNG WEB TỰ ĐỘNG TẠO CÂU HỎI TRẮC NGHIỆM TỪ TÀI LIỆU </v>
      </c>
      <c r="K70" s="9" t="str">
        <f>IFERROR(__xludf.DUMMYFUNCTION("""COMPUTED_VALUE"""),"Tự động hóa quy trình:
Xây dựng Agent AI có khả năng đọc hiểu đa định dạng (PDF, DOCX, MP3) để trích xuất kiến thức và sinh câu hỏi trắc nghiệm.
Nâng cao chất lượng đề thi:
Tích hợp cơ chế ""AI Reviewer"" để tự động chấm điểm câu hỏi dựa trên các tiêu chí"&amp;": Độ chính xác, Văn phong, và Chất lượng đáp án nhiễu.
Quản lý toàn diện:
Cung cấp công cụ quản lý thư viện câu hỏi, tạo đề thi tổ hợp, chia sẻ link làm bài trực tuyến, thống kê kết quả chi tiết cho người học và tích hợp LMS.")</f>
        <v>Tự động hóa quy trình:
Xây dựng Agent AI có khả năng đọc hiểu đa định dạng (PDF, DOCX, MP3) để trích xuất kiến thức và sinh câu hỏi trắc nghiệm.
Nâng cao chất lượng đề thi:
Tích hợp cơ chế "AI Reviewer" để tự động chấm điểm câu hỏi dựa trên các tiêu chí: Độ chính xác, Văn phong, và Chất lượng đáp án nhiễu.
Quản lý toàn diện:
Cung cấp công cụ quản lý thư viện câu hỏi, tạo đề thi tổ hợp, chia sẻ link làm bài trực tuyến, thống kê kết quả chi tiết cho người học và tích hợp LMS.</v>
      </c>
      <c r="L70" s="9" t="str">
        <f>IFERROR(__xludf.DUMMYFUNCTION("""COMPUTED_VALUE"""),"Hoàn thiện Core AI &amp; RAG
Nâng cấp chuẩn LTI 1.3 &amp; Deep Linking
Tối ưu hóa hiệu năng hệ thống")</f>
        <v>Hoàn thiện Core AI &amp; RAG
Nâng cấp chuẩn LTI 1.3 &amp; Deep Linking
Tối ưu hóa hiệu năng hệ thống</v>
      </c>
      <c r="M70" s="9"/>
      <c r="N70" s="9"/>
      <c r="O70" s="9"/>
      <c r="P70" s="9"/>
      <c r="Q70" s="9" t="str">
        <f>IFERROR(__xludf.DUMMYFUNCTION("""COMPUTED_VALUE"""),"TNDHLTK22_202610515")</f>
        <v>TNDHLTK22_202610515</v>
      </c>
    </row>
    <row r="71">
      <c r="A71" s="10">
        <f>IFERROR(__xludf.DUMMYFUNCTION("""COMPUTED_VALUE"""),46017.879527337966)</f>
        <v>46017.87953</v>
      </c>
      <c r="B71" s="9" t="str">
        <f>IFERROR(__xludf.DUMMYFUNCTION("""COMPUTED_VALUE"""),"12c8letuananh@gmail.com")</f>
        <v>12c8letuananh@gmail.com</v>
      </c>
      <c r="C71" s="9">
        <f>IFERROR(__xludf.DUMMYFUNCTION("""COMPUTED_VALUE"""),1.22000209E8)</f>
        <v>122000209</v>
      </c>
      <c r="D71" s="9" t="str">
        <f>IFERROR(__xludf.DUMMYFUNCTION("""COMPUTED_VALUE"""),"Lê Tuấn Anh")</f>
        <v>Lê Tuấn Anh</v>
      </c>
      <c r="E71" s="9" t="str">
        <f>IFERROR(__xludf.DUMMYFUNCTION("""COMPUTED_VALUE"""),"0388169322")</f>
        <v>0388169322</v>
      </c>
      <c r="F71" s="9" t="str">
        <f>IFERROR(__xludf.DUMMYFUNCTION("""COMPUTED_VALUE"""),"22CT111")</f>
        <v>22CT111</v>
      </c>
      <c r="G71" s="9" t="str">
        <f>IFERROR(__xludf.DUMMYFUNCTION("""COMPUTED_VALUE"""),"Thực hiện đồ án tốt nghiệp")</f>
        <v>Thực hiện đồ án tốt nghiệp</v>
      </c>
      <c r="H71" s="9" t="str">
        <f>IFERROR(__xludf.DUMMYFUNCTION("""COMPUTED_VALUE"""),"Nguyễn Minh Phúc")</f>
        <v>Nguyễn Minh Phúc</v>
      </c>
      <c r="I71" s="9"/>
      <c r="J71" s="9" t="str">
        <f>IFERROR(__xludf.DUMMYFUNCTION("""COMPUTED_VALUE"""),"XÂY DỰNG MODULE HỆ THỐNG GỢI Ý LỖI VÀ FEEDBACK TỰ ĐỘNG TRONG BÀI CÁC MÔN LẬP TRÌNH")</f>
        <v>XÂY DỰNG MODULE HỆ THỐNG GỢI Ý LỖI VÀ FEEDBACK TỰ ĐỘNG TRONG BÀI CÁC MÔN LẬP TRÌNH</v>
      </c>
      <c r="K71" s="9" t="str">
        <f>IFERROR(__xludf.DUMMYFUNCTION("""COMPUTED_VALUE"""),"Nghiên cứu và xây dựng module hệ thống gợi ý lỗi và phản hồi tự
động trong các bài tập lập trình.
- Phát hiện các lỗi phổ biến trong mã nguồn sinh viên (như quên return,
sai điều kiện, lỗi cú pháp cơ bản, v.v.) thông qua phân tích mã bằng
regex hoặc AST.
"&amp;"- Cung cấp gợi ý sửa lỗi và hướng dẫn tương tác, giúp sinh viên tự học
và nâng cao kỹ năng lập trình mà không cần giám sát trực tiếp của
giảng viên.")</f>
        <v>Nghiên cứu và xây dựng module hệ thống gợi ý lỗi và phản hồi tự
động trong các bài tập lập trình.
- Phát hiện các lỗi phổ biến trong mã nguồn sinh viên (như quên return,
sai điều kiện, lỗi cú pháp cơ bản, v.v.) thông qua phân tích mã bằng
regex hoặc AST.
- Cung cấp gợi ý sửa lỗi và hướng dẫn tương tác, giúp sinh viên tự học
và nâng cao kỹ năng lập trình mà không cần giám sát trực tiếp của
giảng viên.</v>
      </c>
      <c r="L71" s="9" t="str">
        <f>IFERROR(__xludf.DUMMYFUNCTION("""COMPUTED_VALUE"""),"1. Khảo sát và phân tích yêu cầu
2. Phân tích và thiết kế hệ thống
3. Xây dựng module gợi ý lỗi tự động
4. Xây dựng hệ thống feedback tự động
5. Phát triển giao diện và tích hợp hệ thống
6. Kiểm thử và đánh giá hệ thống
7.Hoàn thiện và báo cáo kết q"&amp;"uả")</f>
        <v>1. Khảo sát và phân tích yêu cầu
2. Phân tích và thiết kế hệ thống
3. Xây dựng module gợi ý lỗi tự động
4. Xây dựng hệ thống feedback tự động
5. Phát triển giao diện và tích hợp hệ thống
6. Kiểm thử và đánh giá hệ thống
7.Hoàn thiện và báo cáo kết quả</v>
      </c>
      <c r="M71" s="9"/>
      <c r="N71" s="9"/>
      <c r="O71" s="9"/>
      <c r="P71" s="9"/>
      <c r="Q71" s="9" t="str">
        <f>IFERROR(__xludf.DUMMYFUNCTION("""COMPUTED_VALUE"""),"TNDHLTK22_202610515")</f>
        <v>TNDHLTK22_202610515</v>
      </c>
    </row>
    <row r="72">
      <c r="A72" s="10">
        <f>IFERROR(__xludf.DUMMYFUNCTION("""COMPUTED_VALUE"""),46018.42082866898)</f>
        <v>46018.42083</v>
      </c>
      <c r="B72" s="9" t="str">
        <f>IFERROR(__xludf.DUMMYFUNCTION("""COMPUTED_VALUE"""),"baohanbienle@gmail.com")</f>
        <v>baohanbienle@gmail.com</v>
      </c>
      <c r="C72" s="9">
        <f>IFERROR(__xludf.DUMMYFUNCTION("""COMPUTED_VALUE"""),1.22000728E8)</f>
        <v>122000728</v>
      </c>
      <c r="D72" s="9" t="str">
        <f>IFERROR(__xludf.DUMMYFUNCTION("""COMPUTED_VALUE"""),"Biện Lê Bảo Hân")</f>
        <v>Biện Lê Bảo Hân</v>
      </c>
      <c r="E72" s="9" t="str">
        <f>IFERROR(__xludf.DUMMYFUNCTION("""COMPUTED_VALUE"""),"0918639626")</f>
        <v>0918639626</v>
      </c>
      <c r="F72" s="9" t="str">
        <f>IFERROR(__xludf.DUMMYFUNCTION("""COMPUTED_VALUE"""),"22EC111")</f>
        <v>22EC111</v>
      </c>
      <c r="G72" s="9" t="str">
        <f>IFERROR(__xludf.DUMMYFUNCTION("""COMPUTED_VALUE"""),"Thực hiện đồ án tốt nghiệp")</f>
        <v>Thực hiện đồ án tốt nghiệp</v>
      </c>
      <c r="H72" s="9" t="str">
        <f>IFERROR(__xludf.DUMMYFUNCTION("""COMPUTED_VALUE"""),"Hồ Ngọc Hoàng Long")</f>
        <v>Hồ Ngọc Hoàng Long</v>
      </c>
      <c r="I72" s="9"/>
      <c r="J72" s="9" t="str">
        <f>IFERROR(__xludf.DUMMYFUNCTION("""COMPUTED_VALUE"""),"Xây dựng mô hình kinh doanh online nông sản tươi ngắn ngày")</f>
        <v>Xây dựng mô hình kinh doanh online nông sản tươi ngắn ngày</v>
      </c>
      <c r="K72" s="9" t="str">
        <f>IFERROR(__xludf.DUMMYFUNCTION("""COMPUTED_VALUE"""),"Mô hình kinh doanh online
")</f>
        <v>Mô hình kinh doanh online
</v>
      </c>
      <c r="L72" s="9" t="str">
        <f>IFERROR(__xludf.DUMMYFUNCTION("""COMPUTED_VALUE""")," Bán sản phẩm nông sản tươi ngắn ngày ")</f>
        <v> Bán sản phẩm nông sản tươi ngắn ngày </v>
      </c>
      <c r="M72" s="9"/>
      <c r="N72" s="9"/>
      <c r="O72" s="9"/>
      <c r="P72" s="9"/>
      <c r="Q72" s="9" t="str">
        <f>IFERROR(__xludf.DUMMYFUNCTION("""COMPUTED_VALUE"""),"TNDHLTK22_202610515")</f>
        <v>TNDHLTK22_202610515</v>
      </c>
    </row>
    <row r="73">
      <c r="A73" s="10">
        <f>IFERROR(__xludf.DUMMYFUNCTION("""COMPUTED_VALUE"""),46018.76051416667)</f>
        <v>46018.76051</v>
      </c>
      <c r="B73" s="9" t="str">
        <f>IFERROR(__xludf.DUMMYFUNCTION("""COMPUTED_VALUE"""),"hoangminh25603@gmail.com")</f>
        <v>hoangminh25603@gmail.com</v>
      </c>
      <c r="C73" s="9">
        <f>IFERROR(__xludf.DUMMYFUNCTION("""COMPUTED_VALUE"""),1.22000056E8)</f>
        <v>122000056</v>
      </c>
      <c r="D73" s="9" t="str">
        <f>IFERROR(__xludf.DUMMYFUNCTION("""COMPUTED_VALUE"""),"Nguyễn Mai Minh Hoàng")</f>
        <v>Nguyễn Mai Minh Hoàng</v>
      </c>
      <c r="E73" s="9" t="str">
        <f>IFERROR(__xludf.DUMMYFUNCTION("""COMPUTED_VALUE"""),"0947339279")</f>
        <v>0947339279</v>
      </c>
      <c r="F73" s="9" t="str">
        <f>IFERROR(__xludf.DUMMYFUNCTION("""COMPUTED_VALUE"""),"22EC111")</f>
        <v>22EC111</v>
      </c>
      <c r="G73" s="9" t="str">
        <f>IFERROR(__xludf.DUMMYFUNCTION("""COMPUTED_VALUE"""),"Thực hiện đồ án tốt nghiệp")</f>
        <v>Thực hiện đồ án tốt nghiệp</v>
      </c>
      <c r="H73" s="9" t="str">
        <f>IFERROR(__xludf.DUMMYFUNCTION("""COMPUTED_VALUE"""),"Hồ Ngọc Hoàng Long")</f>
        <v>Hồ Ngọc Hoàng Long</v>
      </c>
      <c r="I73" s="9"/>
      <c r="J73" s="9" t="str">
        <f>IFERROR(__xludf.DUMMYFUNCTION("""COMPUTED_VALUE"""),"Triển khai mô hình kinh doanh online cho cửa hàng đồ ăn vặt chú Mập")</f>
        <v>Triển khai mô hình kinh doanh online cho cửa hàng đồ ăn vặt chú Mập</v>
      </c>
      <c r="K73" s="9" t="str">
        <f>IFERROR(__xludf.DUMMYFUNCTION("""COMPUTED_VALUE""")," mô hình kinh doanh online")</f>
        <v> mô hình kinh doanh online</v>
      </c>
      <c r="L73" s="9" t="str">
        <f>IFERROR(__xludf.DUMMYFUNCTION("""COMPUTED_VALUE""")," triển khai mô hình kinh doanh onl")</f>
        <v> triển khai mô hình kinh doanh onl</v>
      </c>
      <c r="M73" s="9"/>
      <c r="N73" s="9"/>
      <c r="O73" s="9"/>
      <c r="P73" s="9"/>
      <c r="Q73" s="9" t="str">
        <f>IFERROR(__xludf.DUMMYFUNCTION("""COMPUTED_VALUE"""),"TNDHLTK22_202610515")</f>
        <v>TNDHLTK22_202610515</v>
      </c>
    </row>
    <row r="74">
      <c r="A74" s="10">
        <f>IFERROR(__xludf.DUMMYFUNCTION("""COMPUTED_VALUE"""),46018.94603922454)</f>
        <v>46018.94604</v>
      </c>
      <c r="B74" s="9" t="str">
        <f>IFERROR(__xludf.DUMMYFUNCTION("""COMPUTED_VALUE"""),"nam.vuonghoang04@gmail.com")</f>
        <v>nam.vuonghoang04@gmail.com</v>
      </c>
      <c r="C74" s="9">
        <f>IFERROR(__xludf.DUMMYFUNCTION("""COMPUTED_VALUE"""),1.22000401E8)</f>
        <v>122000401</v>
      </c>
      <c r="D74" s="9" t="str">
        <f>IFERROR(__xludf.DUMMYFUNCTION("""COMPUTED_VALUE"""),"Vương Hoàng Nam")</f>
        <v>Vương Hoàng Nam</v>
      </c>
      <c r="E74" s="9" t="str">
        <f>IFERROR(__xludf.DUMMYFUNCTION("""COMPUTED_VALUE"""),"0362567818")</f>
        <v>0362567818</v>
      </c>
      <c r="F74" s="9" t="str">
        <f>IFERROR(__xludf.DUMMYFUNCTION("""COMPUTED_VALUE"""),"22CT113")</f>
        <v>22CT113</v>
      </c>
      <c r="G74" s="9" t="str">
        <f>IFERROR(__xludf.DUMMYFUNCTION("""COMPUTED_VALUE"""),"Đặc cách tốt nghiệp")</f>
        <v>Đặc cách tốt nghiệp</v>
      </c>
      <c r="H74" s="9" t="str">
        <f>IFERROR(__xludf.DUMMYFUNCTION("""COMPUTED_VALUE"""),"Đặc cách tốt nghiệp")</f>
        <v>Đặc cách tốt nghiệp</v>
      </c>
      <c r="I74" s="9"/>
      <c r="J74" s="9"/>
      <c r="K74" s="9"/>
      <c r="L74" s="9"/>
      <c r="M74" s="9"/>
      <c r="N74" s="9" t="str">
        <f>IFERROR(__xludf.DUMMYFUNCTION("""COMPUTED_VALUE"""),"Đạt giải Nhất Quốc Gia VietFuture 2025")</f>
        <v>Đạt giải Nhất Quốc Gia VietFuture 2025</v>
      </c>
      <c r="O74" s="9">
        <f>IFERROR(__xludf.DUMMYFUNCTION("""COMPUTED_VALUE"""),10.0)</f>
        <v>10</v>
      </c>
      <c r="P74" s="11" t="str">
        <f>IFERROR(__xludf.DUMMYFUNCTION("""COMPUTED_VALUE"""),"https://drive.google.com/open?id=1diQWnuwzM-L3SsD3rrO7wdcKw4JszGIQ")</f>
        <v>https://drive.google.com/open?id=1diQWnuwzM-L3SsD3rrO7wdcKw4JszGIQ</v>
      </c>
      <c r="Q74" s="9" t="str">
        <f>IFERROR(__xludf.DUMMYFUNCTION("""COMPUTED_VALUE"""),"TNDHLTK22_202610515")</f>
        <v>TNDHLTK22_202610515</v>
      </c>
    </row>
    <row r="75">
      <c r="A75" s="10">
        <f>IFERROR(__xludf.DUMMYFUNCTION("""COMPUTED_VALUE"""),46019.3078891551)</f>
        <v>46019.30789</v>
      </c>
      <c r="B75" s="9" t="str">
        <f>IFERROR(__xludf.DUMMYFUNCTION("""COMPUTED_VALUE"""),"truongnguyengiaps@gmail.com")</f>
        <v>truongnguyengiaps@gmail.com</v>
      </c>
      <c r="C75" s="9">
        <f>IFERROR(__xludf.DUMMYFUNCTION("""COMPUTED_VALUE"""),1.22000224E8)</f>
        <v>122000224</v>
      </c>
      <c r="D75" s="9" t="str">
        <f>IFERROR(__xludf.DUMMYFUNCTION("""COMPUTED_VALUE"""),"Trương Nguyên Giáp")</f>
        <v>Trương Nguyên Giáp</v>
      </c>
      <c r="E75" s="9" t="str">
        <f>IFERROR(__xludf.DUMMYFUNCTION("""COMPUTED_VALUE"""),"0368609650")</f>
        <v>0368609650</v>
      </c>
      <c r="F75" s="9" t="str">
        <f>IFERROR(__xludf.DUMMYFUNCTION("""COMPUTED_VALUE"""),"22CT111")</f>
        <v>22CT111</v>
      </c>
      <c r="G75" s="9" t="str">
        <f>IFERROR(__xludf.DUMMYFUNCTION("""COMPUTED_VALUE"""),"Thực hiện đồ án tốt nghiệp")</f>
        <v>Thực hiện đồ án tốt nghiệp</v>
      </c>
      <c r="H75" s="9" t="str">
        <f>IFERROR(__xludf.DUMMYFUNCTION("""COMPUTED_VALUE"""),"Nguyễn Minh Phúc")</f>
        <v>Nguyễn Minh Phúc</v>
      </c>
      <c r="I75" s="9"/>
      <c r="J75" s="9" t="str">
        <f>IFERROR(__xludf.DUMMYFUNCTION("""COMPUTED_VALUE"""),"XÂY DỰNG MODULE HỆ THỐNG GỢI Ý LỖI VÀ FEEDBACK TỰ ĐỘNG TRONG BÀI CÁC MÔN LẬP TRÌNH ")</f>
        <v>XÂY DỰNG MODULE HỆ THỐNG GỢI Ý LỖI VÀ FEEDBACK TỰ ĐỘNG TRONG BÀI CÁC MÔN LẬP TRÌNH </v>
      </c>
      <c r="K75" s="9" t="str">
        <f>IFERROR(__xludf.DUMMYFUNCTION("""COMPUTED_VALUE"""),"•	Xây dựng hệ thống có khả năng tiếp nhận đoạn mã lập trình từ sinh viên.
•	Tự động phân tích lỗi cú pháp, lỗi logic cơ bản và lỗi thường gặp.
•	Đưa ra gợi ý cách sửa, giải thích lỗi giúp sinh viên hiểu rõ vấn đề.
•	Thiết kế giao diện đơn giản, trực quan,"&amp;" phù hợp để sinh viên dễ dàng sử dụng.
•	Giảm tải cho giảng viên trong việc kiểm tra lỗi của từng bài tập.
•	Hỗ trợ sinh viên tự học, tự sửa lỗi và nâng cao tư duy lập trình.
")</f>
        <v>•	Xây dựng hệ thống có khả năng tiếp nhận đoạn mã lập trình từ sinh viên.
•	Tự động phân tích lỗi cú pháp, lỗi logic cơ bản và lỗi thường gặp.
•	Đưa ra gợi ý cách sửa, giải thích lỗi giúp sinh viên hiểu rõ vấn đề.
•	Thiết kế giao diện đơn giản, trực quan, phù hợp để sinh viên dễ dàng sử dụng.
•	Giảm tải cho giảng viên trong việc kiểm tra lỗi của từng bài tập.
•	Hỗ trợ sinh viên tự học, tự sửa lỗi và nâng cao tư duy lập trình.
</v>
      </c>
      <c r="L75" s="9" t="str">
        <f>IFERROR(__xludf.DUMMYFUNCTION("""COMPUTED_VALUE"""),". Khảo sát &amp; phân tích yêu cầu
. Đối tượng sử dụng
. Chức năng chính của hệ thống
. Chức năng chính của chatbot")</f>
        <v>. Khảo sát &amp; phân tích yêu cầu
. Đối tượng sử dụng
. Chức năng chính của hệ thống
. Chức năng chính của chatbot</v>
      </c>
      <c r="M75" s="9" t="str">
        <f>IFERROR(__xludf.DUMMYFUNCTION("""COMPUTED_VALUE"""),"một số chỗ còn thiếu sót")</f>
        <v>một số chỗ còn thiếu sót</v>
      </c>
      <c r="N75" s="9"/>
      <c r="O75" s="9"/>
      <c r="P75" s="9"/>
      <c r="Q75" s="9" t="str">
        <f>IFERROR(__xludf.DUMMYFUNCTION("""COMPUTED_VALUE"""),"TNDHLTK22_202610515")</f>
        <v>TNDHLTK22_202610515</v>
      </c>
    </row>
    <row r="76">
      <c r="A76" s="10">
        <f>IFERROR(__xludf.DUMMYFUNCTION("""COMPUTED_VALUE"""),46019.485412766204)</f>
        <v>46019.48541</v>
      </c>
      <c r="B76" s="9" t="str">
        <f>IFERROR(__xludf.DUMMYFUNCTION("""COMPUTED_VALUE"""),"lequocanhlhu122001209@gmail.com")</f>
        <v>lequocanhlhu122001209@gmail.com</v>
      </c>
      <c r="C76" s="9">
        <f>IFERROR(__xludf.DUMMYFUNCTION("""COMPUTED_VALUE"""),1.22001209E8)</f>
        <v>122001209</v>
      </c>
      <c r="D76" s="9" t="str">
        <f>IFERROR(__xludf.DUMMYFUNCTION("""COMPUTED_VALUE"""),"Lê QUốc Anh")</f>
        <v>Lê QUốc Anh</v>
      </c>
      <c r="E76" s="9" t="str">
        <f>IFERROR(__xludf.DUMMYFUNCTION("""COMPUTED_VALUE"""),"0387204605")</f>
        <v>0387204605</v>
      </c>
      <c r="F76" s="9" t="str">
        <f>IFERROR(__xludf.DUMMYFUNCTION("""COMPUTED_VALUE"""),"22CT112")</f>
        <v>22CT112</v>
      </c>
      <c r="G76" s="9" t="str">
        <f>IFERROR(__xludf.DUMMYFUNCTION("""COMPUTED_VALUE"""),"Thực hiện đồ án tốt nghiệp")</f>
        <v>Thực hiện đồ án tốt nghiệp</v>
      </c>
      <c r="H76" s="9" t="str">
        <f>IFERROR(__xludf.DUMMYFUNCTION("""COMPUTED_VALUE"""),"Nguyễn Minh Phúc")</f>
        <v>Nguyễn Minh Phúc</v>
      </c>
      <c r="I76" s="9"/>
      <c r="J76" s="9" t="str">
        <f>IFERROR(__xludf.DUMMYFUNCTION("""COMPUTED_VALUE"""),"Xây dựng module phân loại trình độ sinh viên dựa trên điểm số và hành vi học tập")</f>
        <v>Xây dựng module phân loại trình độ sinh viên dựa trên điểm số và hành vi học tập</v>
      </c>
      <c r="K76" s="9" t="str">
        <f>IFERROR(__xludf.DUMMYFUNCTION("""COMPUTED_VALUE"""),"Xây dựng một module phân loại trình độ sinh viên dựa trên điểm số và hành vi học tập, giúp đánh giá đúng năng lực thực tế theo từng môn học và từng kỹ năng. Ứng dụng các thuật toán KMeans và KNN để phân nhóm sinh viên, phát hiện điểm bất thường và hỗ trợ "&amp;"giảng viên trong việc theo dõi, đánh giá quá trình học tập một cách khách quan và hiệu quả.")</f>
        <v>Xây dựng một module phân loại trình độ sinh viên dựa trên điểm số và hành vi học tập, giúp đánh giá đúng năng lực thực tế theo từng môn học và từng kỹ năng. Ứng dụng các thuật toán KMeans và KNN để phân nhóm sinh viên, phát hiện điểm bất thường và hỗ trợ giảng viên trong việc theo dõi, đánh giá quá trình học tập một cách khách quan và hiệu quả.</v>
      </c>
      <c r="L76" s="9" t="str">
        <f>IFERROR(__xludf.DUMMYFUNCTION("""COMPUTED_VALUE"""),"Phân tích yêu cầu đề tài và xác định các tiêu chí đánh giá năng lực sinh viên. Thu thập, làm sạch và chuẩn hóa dữ liệu học tập và hành vi. Xây dựng và thử nghiệm mô hình phân loại bằng KMeans và KNN. Triển khai module phân tích kỹ năng theo từng môn học, "&amp;"phát hiện các trường hợp điểm bất thường. Hoàn thiện giao diện hiển thị kết quả và tổng hợp báo cáo, thuyết trình đề tài.")</f>
        <v>Phân tích yêu cầu đề tài và xác định các tiêu chí đánh giá năng lực sinh viên. Thu thập, làm sạch và chuẩn hóa dữ liệu học tập và hành vi. Xây dựng và thử nghiệm mô hình phân loại bằng KMeans và KNN. Triển khai module phân tích kỹ năng theo từng môn học, phát hiện các trường hợp điểm bất thường. Hoàn thiện giao diện hiển thị kết quả và tổng hợp báo cáo, thuyết trình đề tài.</v>
      </c>
      <c r="M76" s="9"/>
      <c r="N76" s="9"/>
      <c r="O76" s="9"/>
      <c r="P76" s="9"/>
      <c r="Q76" s="9" t="str">
        <f>IFERROR(__xludf.DUMMYFUNCTION("""COMPUTED_VALUE"""),"TNDHLTK22_202610515")</f>
        <v>TNDHLTK22_202610515</v>
      </c>
    </row>
    <row r="77">
      <c r="A77" s="10">
        <f>IFERROR(__xludf.DUMMYFUNCTION("""COMPUTED_VALUE"""),46019.90413033565)</f>
        <v>46019.90413</v>
      </c>
      <c r="B77" s="9" t="str">
        <f>IFERROR(__xludf.DUMMYFUNCTION("""COMPUTED_VALUE"""),"hoangbye789@gmail.com")</f>
        <v>hoangbye789@gmail.com</v>
      </c>
      <c r="C77" s="9">
        <f>IFERROR(__xludf.DUMMYFUNCTION("""COMPUTED_VALUE"""),1.22000421E8)</f>
        <v>122000421</v>
      </c>
      <c r="D77" s="9" t="str">
        <f>IFERROR(__xludf.DUMMYFUNCTION("""COMPUTED_VALUE"""),"Nguyễn Sơn Phi Hoàng")</f>
        <v>Nguyễn Sơn Phi Hoàng</v>
      </c>
      <c r="E77" s="9" t="str">
        <f>IFERROR(__xludf.DUMMYFUNCTION("""COMPUTED_VALUE"""),"0346980771")</f>
        <v>0346980771</v>
      </c>
      <c r="F77" s="9" t="str">
        <f>IFERROR(__xludf.DUMMYFUNCTION("""COMPUTED_VALUE"""),"22CT112")</f>
        <v>22CT112</v>
      </c>
      <c r="G77" s="9" t="str">
        <f>IFERROR(__xludf.DUMMYFUNCTION("""COMPUTED_VALUE"""),"Thực hiện đồ án tốt nghiệp")</f>
        <v>Thực hiện đồ án tốt nghiệp</v>
      </c>
      <c r="H77" s="9" t="str">
        <f>IFERROR(__xludf.DUMMYFUNCTION("""COMPUTED_VALUE"""),"Hồ Ngọc Hoàng Long")</f>
        <v>Hồ Ngọc Hoàng Long</v>
      </c>
      <c r="I77" s="9"/>
      <c r="J77" s="9" t="str">
        <f>IFERROR(__xludf.DUMMYFUNCTION("""COMPUTED_VALUE"""),"Ứng Dụng AI Học Ngoại Ngữ")</f>
        <v>Ứng Dụng AI Học Ngoại Ngữ</v>
      </c>
      <c r="K77" s="9" t="str">
        <f>IFERROR(__xludf.DUMMYFUNCTION("""COMPUTED_VALUE"""),"Xây dựng nền tảng ""Ezi Languages"" hỗ trợ luyện thi tiếng Anh chuẩn VSTEP và CEFR. Ứng dụng trí tuệ nhân tạo (AI) để đánh giá năng lực đầu vào, cá nhân hóa lộ trình học và tự động chấm điểm, phản hồi tức thì cho 4 kỹ năng Nghe - Nói - Đọc - Viết. Cung cấ"&amp;"p công cụ quản lý lớp học và theo dõi tiến độ cho giáo viên.")</f>
        <v>Xây dựng nền tảng "Ezi Languages" hỗ trợ luyện thi tiếng Anh chuẩn VSTEP và CEFR. Ứng dụng trí tuệ nhân tạo (AI) để đánh giá năng lực đầu vào, cá nhân hóa lộ trình học và tự động chấm điểm, phản hồi tức thì cho 4 kỹ năng Nghe - Nói - Đọc - Viết. Cung cấp công cụ quản lý lớp học và theo dõi tiến độ cho giáo viên.</v>
      </c>
      <c r="L77" s="9" t="str">
        <f>IFERROR(__xludf.DUMMYFUNCTION("""COMPUTED_VALUE"""),"Phát triển hệ thống trên nền tảng Web sử dụng Next.js, TypeScript và Firebase tích hợp Genkit (Gemini AI). Triển khai các phân hệ chức năng: Xác thực và phân quyền người dùng; Bài kiểm tra đánh giá năng lực đầu vào; Hệ thống bài học tương tác đa cấp độ; A"&amp;"I Coach luyện kỹ năng 1-1; Diễn đàn cộng đồng; Module quản lý lớp học, quản lý bài kiểm tra (Quiz) và báo cáo thống kê.")</f>
        <v>Phát triển hệ thống trên nền tảng Web sử dụng Next.js, TypeScript và Firebase tích hợp Genkit (Gemini AI). Triển khai các phân hệ chức năng: Xác thực và phân quyền người dùng; Bài kiểm tra đánh giá năng lực đầu vào; Hệ thống bài học tương tác đa cấp độ; AI Coach luyện kỹ năng 1-1; Diễn đàn cộng đồng; Module quản lý lớp học, quản lý bài kiểm tra (Quiz) và báo cáo thống kê.</v>
      </c>
      <c r="M77" s="9"/>
      <c r="N77" s="9"/>
      <c r="O77" s="9"/>
      <c r="P77" s="9"/>
      <c r="Q77" s="9" t="str">
        <f>IFERROR(__xludf.DUMMYFUNCTION("""COMPUTED_VALUE"""),"TNDHLTK22_202610515")</f>
        <v>TNDHLTK22_202610515</v>
      </c>
    </row>
    <row r="78">
      <c r="A78" s="10">
        <f>IFERROR(__xludf.DUMMYFUNCTION("""COMPUTED_VALUE"""),46019.95855971065)</f>
        <v>46019.95856</v>
      </c>
      <c r="B78" s="9" t="str">
        <f>IFERROR(__xludf.DUMMYFUNCTION("""COMPUTED_VALUE"""),"trancamly0810@gmail.com")</f>
        <v>trancamly0810@gmail.com</v>
      </c>
      <c r="C78" s="9">
        <f>IFERROR(__xludf.DUMMYFUNCTION("""COMPUTED_VALUE"""),1.22000798E8)</f>
        <v>122000798</v>
      </c>
      <c r="D78" s="9" t="str">
        <f>IFERROR(__xludf.DUMMYFUNCTION("""COMPUTED_VALUE"""),"Trần Cẩm Ly")</f>
        <v>Trần Cẩm Ly</v>
      </c>
      <c r="E78" s="9" t="str">
        <f>IFERROR(__xludf.DUMMYFUNCTION("""COMPUTED_VALUE"""),"0842958696")</f>
        <v>0842958696</v>
      </c>
      <c r="F78" s="9" t="str">
        <f>IFERROR(__xludf.DUMMYFUNCTION("""COMPUTED_VALUE"""),"22CT113")</f>
        <v>22CT113</v>
      </c>
      <c r="G78" s="9" t="str">
        <f>IFERROR(__xludf.DUMMYFUNCTION("""COMPUTED_VALUE"""),"Thực hiện đồ án tốt nghiệp")</f>
        <v>Thực hiện đồ án tốt nghiệp</v>
      </c>
      <c r="H78" s="9" t="str">
        <f>IFERROR(__xludf.DUMMYFUNCTION("""COMPUTED_VALUE"""),"Hồ Ngọc Hoàng Long")</f>
        <v>Hồ Ngọc Hoàng Long</v>
      </c>
      <c r="I78" s="9"/>
      <c r="J78" s="9" t="str">
        <f>IFERROR(__xludf.DUMMYFUNCTION("""COMPUTED_VALUE"""),"SmartBuildAI-Hệ thống quản ví vlxd thông minh")</f>
        <v>SmartBuildAI-Hệ thống quản ví vlxd thông minh</v>
      </c>
      <c r="K78" s="9" t="str">
        <f>IFERROR(__xludf.DUMMYFUNCTION("""COMPUTED_VALUE"""),"Quản lý công nợ
Quản lý công nợ, hạn mức, tự động chặn đơn quá hạn
2. Nhập hàng Thông minh
Quét tồn kho → gợi ý nhập → đề xuất NCC → duyệt &amp; đặt hàng
3. Kênh Môi giới Thi công
Kết nối người mua với nhà thầu đã xác thực, báo giá trực tuyến
4. AI Phân tích "&amp;"Bản vẽ Nhà
Upload bản vẽ → gợi ý vật liệu &amp; số lượng → 1 click thêm giỏ
5. Giá B2B Đa cấp &amp; Dự án
Giá riêng cho khách lẻ – thầu – đại lý, theo hợp đồng/dự án
")</f>
        <v>Quản lý công nợ
Quản lý công nợ, hạn mức, tự động chặn đơn quá hạn
2. Nhập hàng Thông minh
Quét tồn kho → gợi ý nhập → đề xuất NCC → duyệt &amp; đặt hàng
3. Kênh Môi giới Thi công
Kết nối người mua với nhà thầu đã xác thực, báo giá trực tuyến
4. AI Phân tích Bản vẽ Nhà
Upload bản vẽ → gợi ý vật liệu &amp; số lượng → 1 click thêm giỏ
5. Giá B2B Đa cấp &amp; Dự án
Giá riêng cho khách lẻ – thầu – đại lý, theo hợp đồng/dự án
</v>
      </c>
      <c r="L78" s="9" t="str">
        <f>IFERROR(__xludf.DUMMYFUNCTION("""COMPUTED_VALUE"""),"Quản lý công nợ
Quản lý công nợ, hạn mức, tự động chặn đơn quá hạn
2. Nhập hàng Thông minh
Quét tồn kho → gợi ý nhập → đề xuất NCC → duyệt &amp; đặt hàng
3. Kênh Môi giới Thi công
Kết nối người mua với nhà thầu đã xác thực, báo giá trực tuyến
4. AI Phân tích "&amp;"Bản vẽ Nhà
Upload bản vẽ → gợi ý vật liệu &amp; số lượng → 1 click thêm giỏ
5. Giá B2B Đa cấp &amp; Dự án
Giá riêng cho khách lẻ – thầu – đại lý, theo hợp đồng/dự án
")</f>
        <v>Quản lý công nợ
Quản lý công nợ, hạn mức, tự động chặn đơn quá hạn
2. Nhập hàng Thông minh
Quét tồn kho → gợi ý nhập → đề xuất NCC → duyệt &amp; đặt hàng
3. Kênh Môi giới Thi công
Kết nối người mua với nhà thầu đã xác thực, báo giá trực tuyến
4. AI Phân tích Bản vẽ Nhà
Upload bản vẽ → gợi ý vật liệu &amp; số lượng → 1 click thêm giỏ
5. Giá B2B Đa cấp &amp; Dự án
Giá riêng cho khách lẻ – thầu – đại lý, theo hợp đồng/dự án
</v>
      </c>
      <c r="M78" s="9"/>
      <c r="N78" s="9"/>
      <c r="O78" s="9"/>
      <c r="P78" s="9"/>
      <c r="Q78" s="9" t="str">
        <f>IFERROR(__xludf.DUMMYFUNCTION("""COMPUTED_VALUE"""),"TNDHLTK22_202610515")</f>
        <v>TNDHLTK22_202610515</v>
      </c>
    </row>
    <row r="79">
      <c r="A79" s="10">
        <f>IFERROR(__xludf.DUMMYFUNCTION("""COMPUTED_VALUE"""),46020.40807791667)</f>
        <v>46020.40808</v>
      </c>
      <c r="B79" s="9" t="str">
        <f>IFERROR(__xludf.DUMMYFUNCTION("""COMPUTED_VALUE"""),"ntai26032003@gmail.com")</f>
        <v>ntai26032003@gmail.com</v>
      </c>
      <c r="C79" s="9">
        <f>IFERROR(__xludf.DUMMYFUNCTION("""COMPUTED_VALUE"""),1.220008E8)</f>
        <v>122000800</v>
      </c>
      <c r="D79" s="9" t="str">
        <f>IFERROR(__xludf.DUMMYFUNCTION("""COMPUTED_VALUE"""),"Nguyễn Tấn Tài")</f>
        <v>Nguyễn Tấn Tài</v>
      </c>
      <c r="E79" s="9" t="str">
        <f>IFERROR(__xludf.DUMMYFUNCTION("""COMPUTED_VALUE"""),"0787696539")</f>
        <v>0787696539</v>
      </c>
      <c r="F79" s="9" t="str">
        <f>IFERROR(__xludf.DUMMYFUNCTION("""COMPUTED_VALUE"""),"22CT112")</f>
        <v>22CT112</v>
      </c>
      <c r="G79" s="9" t="str">
        <f>IFERROR(__xludf.DUMMYFUNCTION("""COMPUTED_VALUE"""),"Thực hiện đồ án tốt nghiệp")</f>
        <v>Thực hiện đồ án tốt nghiệp</v>
      </c>
      <c r="H79" s="9" t="str">
        <f>IFERROR(__xludf.DUMMYFUNCTION("""COMPUTED_VALUE"""),"Nguyễn Minh Phúc")</f>
        <v>Nguyễn Minh Phúc</v>
      </c>
      <c r="I79" s="9" t="str">
        <f>IFERROR(__xludf.DUMMYFUNCTION("""COMPUTED_VALUE"""),"Nguyễn Tấn Tài")</f>
        <v>Nguyễn Tấn Tài</v>
      </c>
      <c r="J79" s="9" t="str">
        <f>IFERROR(__xludf.DUMMYFUNCTION("""COMPUTED_VALUE"""),"Đề Xuất Bài Tập Theo Tiến Độ Học Tập Của Sinh Viên")</f>
        <v>Đề Xuất Bài Tập Theo Tiến Độ Học Tập Của Sinh Viên</v>
      </c>
      <c r="K79" s="9" t="str">
        <f>IFERROR(__xludf.DUMMYFUNCTION("""COMPUTED_VALUE"""),"hoàn thành đề tài tốt nghiệp")</f>
        <v>hoàn thành đề tài tốt nghiệp</v>
      </c>
      <c r="L79" s="9" t="str">
        <f>IFERROR(__xludf.DUMMYFUNCTION("""COMPUTED_VALUE"""),"Bắt đầu các quá trình còn lại của đề tài để hoàn thành đề tài")</f>
        <v>Bắt đầu các quá trình còn lại của đề tài để hoàn thành đề tài</v>
      </c>
      <c r="M79" s="9" t="str">
        <f>IFERROR(__xludf.DUMMYFUNCTION("""COMPUTED_VALUE"""),"không")</f>
        <v>không</v>
      </c>
      <c r="N79" s="9"/>
      <c r="O79" s="9"/>
      <c r="P79" s="9"/>
      <c r="Q79" s="9" t="str">
        <f>IFERROR(__xludf.DUMMYFUNCTION("""COMPUTED_VALUE"""),"TNDHLTK22_202610515")</f>
        <v>TNDHLTK22_202610515</v>
      </c>
    </row>
    <row r="80">
      <c r="A80" s="10">
        <f>IFERROR(__xludf.DUMMYFUNCTION("""COMPUTED_VALUE"""),46020.409943252314)</f>
        <v>46020.40994</v>
      </c>
      <c r="B80" s="9" t="str">
        <f>IFERROR(__xludf.DUMMYFUNCTION("""COMPUTED_VALUE"""),"trandinhminh06052003@gmail.com")</f>
        <v>trandinhminh06052003@gmail.com</v>
      </c>
      <c r="C80" s="9">
        <f>IFERROR(__xludf.DUMMYFUNCTION("""COMPUTED_VALUE"""),1.22001025E8)</f>
        <v>122001025</v>
      </c>
      <c r="D80" s="9" t="str">
        <f>IFERROR(__xludf.DUMMYFUNCTION("""COMPUTED_VALUE"""),"Trần Đình Minh")</f>
        <v>Trần Đình Minh</v>
      </c>
      <c r="E80" s="9" t="str">
        <f>IFERROR(__xludf.DUMMYFUNCTION("""COMPUTED_VALUE"""),"0352085391")</f>
        <v>0352085391</v>
      </c>
      <c r="F80" s="9" t="str">
        <f>IFERROR(__xludf.DUMMYFUNCTION("""COMPUTED_VALUE"""),"22CT112")</f>
        <v>22CT112</v>
      </c>
      <c r="G80" s="9" t="str">
        <f>IFERROR(__xludf.DUMMYFUNCTION("""COMPUTED_VALUE"""),"Thực hiện đồ án tốt nghiệp")</f>
        <v>Thực hiện đồ án tốt nghiệp</v>
      </c>
      <c r="H80" s="9" t="str">
        <f>IFERROR(__xludf.DUMMYFUNCTION("""COMPUTED_VALUE"""),"Nguyễn Minh Phúc")</f>
        <v>Nguyễn Minh Phúc</v>
      </c>
      <c r="I80" s="9"/>
      <c r="J80" s="9" t="str">
        <f>IFERROR(__xludf.DUMMYFUNCTION("""COMPUTED_VALUE"""),"Đề xuất bài tập theo tiến độ sinh viên ")</f>
        <v>Đề xuất bài tập theo tiến độ sinh viên </v>
      </c>
      <c r="K80" s="9" t="str">
        <f>IFERROR(__xludf.DUMMYFUNCTION("""COMPUTED_VALUE"""),"Hoàn thành đồ án tốt nghiệp ")</f>
        <v>Hoàn thành đồ án tốt nghiệp </v>
      </c>
      <c r="L80" s="9" t="str">
        <f>IFERROR(__xludf.DUMMYFUNCTION("""COMPUTED_VALUE"""),"bắt đầu các quá trình còn lại của đề tài để hoàn thành đề tài ")</f>
        <v>bắt đầu các quá trình còn lại của đề tài để hoàn thành đề tài </v>
      </c>
      <c r="M80" s="9" t="str">
        <f>IFERROR(__xludf.DUMMYFUNCTION("""COMPUTED_VALUE"""),"không ")</f>
        <v>không </v>
      </c>
      <c r="N80" s="9"/>
      <c r="O80" s="9"/>
      <c r="P80" s="9"/>
      <c r="Q80" s="9" t="str">
        <f>IFERROR(__xludf.DUMMYFUNCTION("""COMPUTED_VALUE"""),"TNDHLTK22_202610515")</f>
        <v>TNDHLTK22_202610515</v>
      </c>
    </row>
    <row r="81">
      <c r="A81" s="10">
        <f>IFERROR(__xludf.DUMMYFUNCTION("""COMPUTED_VALUE"""),46020.416679421294)</f>
        <v>46020.41668</v>
      </c>
      <c r="B81" s="9" t="str">
        <f>IFERROR(__xludf.DUMMYFUNCTION("""COMPUTED_VALUE"""),"nnguyendang687@gmail.com")</f>
        <v>nnguyendang687@gmail.com</v>
      </c>
      <c r="C81" s="9">
        <f>IFERROR(__xludf.DUMMYFUNCTION("""COMPUTED_VALUE"""),1.22000476E8)</f>
        <v>122000476</v>
      </c>
      <c r="D81" s="9" t="str">
        <f>IFERROR(__xludf.DUMMYFUNCTION("""COMPUTED_VALUE"""),"Nguyễn Đăng Thanh Nhã")</f>
        <v>Nguyễn Đăng Thanh Nhã</v>
      </c>
      <c r="E81" s="9" t="str">
        <f>IFERROR(__xludf.DUMMYFUNCTION("""COMPUTED_VALUE"""),"0948509556")</f>
        <v>0948509556</v>
      </c>
      <c r="F81" s="9" t="str">
        <f>IFERROR(__xludf.DUMMYFUNCTION("""COMPUTED_VALUE"""),"22CT114")</f>
        <v>22CT114</v>
      </c>
      <c r="G81" s="9" t="str">
        <f>IFERROR(__xludf.DUMMYFUNCTION("""COMPUTED_VALUE"""),"Thực hiện đồ án tốt nghiệp")</f>
        <v>Thực hiện đồ án tốt nghiệp</v>
      </c>
      <c r="H81" s="9" t="str">
        <f>IFERROR(__xludf.DUMMYFUNCTION("""COMPUTED_VALUE"""),"Bùi Xuân Cảnh")</f>
        <v>Bùi Xuân Cảnh</v>
      </c>
      <c r="I81" s="9"/>
      <c r="J81" s="9" t="str">
        <f>IFERROR(__xludf.DUMMYFUNCTION("""COMPUTED_VALUE"""),"Web quản lý tài chính và gợi ý tiết kiệm")</f>
        <v>Web quản lý tài chính và gợi ý tiết kiệm</v>
      </c>
      <c r="K81" s="9" t="str">
        <f>IFERROR(__xludf.DUMMYFUNCTION("""COMPUTED_VALUE"""),"Mục tiêu là hoàn thành web quản lý")</f>
        <v>Mục tiêu là hoàn thành web quản lý</v>
      </c>
      <c r="L81" s="9" t="str">
        <f>IFERROR(__xludf.DUMMYFUNCTION("""COMPUTED_VALUE"""),"Hoàn thành các chức năng cho hệ thống quản lý tài chính")</f>
        <v>Hoàn thành các chức năng cho hệ thống quản lý tài chính</v>
      </c>
      <c r="M81" s="9"/>
      <c r="N81" s="9"/>
      <c r="O81" s="9"/>
      <c r="P81" s="9"/>
      <c r="Q81" s="9" t="str">
        <f>IFERROR(__xludf.DUMMYFUNCTION("""COMPUTED_VALUE"""),"TNDHLTK22_202610515")</f>
        <v>TNDHLTK22_202610515</v>
      </c>
    </row>
    <row r="82">
      <c r="A82" s="10">
        <f>IFERROR(__xludf.DUMMYFUNCTION("""COMPUTED_VALUE"""),46020.43248203704)</f>
        <v>46020.43248</v>
      </c>
      <c r="B82" s="9" t="str">
        <f>IFERROR(__xludf.DUMMYFUNCTION("""COMPUTED_VALUE"""),"dinhtamthao2004@gmail.com")</f>
        <v>dinhtamthao2004@gmail.com</v>
      </c>
      <c r="C82" s="9">
        <f>IFERROR(__xludf.DUMMYFUNCTION("""COMPUTED_VALUE"""),1.22001005E8)</f>
        <v>122001005</v>
      </c>
      <c r="D82" s="9" t="str">
        <f>IFERROR(__xludf.DUMMYFUNCTION("""COMPUTED_VALUE"""),"ĐINH TÂM THẢO")</f>
        <v>ĐINH TÂM THẢO</v>
      </c>
      <c r="E82" s="9" t="str">
        <f>IFERROR(__xludf.DUMMYFUNCTION("""COMPUTED_VALUE"""),"0364860796")</f>
        <v>0364860796</v>
      </c>
      <c r="F82" s="9" t="str">
        <f>IFERROR(__xludf.DUMMYFUNCTION("""COMPUTED_VALUE"""),"22CT114")</f>
        <v>22CT114</v>
      </c>
      <c r="G82" s="9" t="str">
        <f>IFERROR(__xludf.DUMMYFUNCTION("""COMPUTED_VALUE"""),"Thực hiện đồ án tốt nghiệp")</f>
        <v>Thực hiện đồ án tốt nghiệp</v>
      </c>
      <c r="H82" s="9" t="str">
        <f>IFERROR(__xludf.DUMMYFUNCTION("""COMPUTED_VALUE"""),"Phan Thiện Phước")</f>
        <v>Phan Thiện Phước</v>
      </c>
      <c r="I82" s="9"/>
      <c r="J82" s="9" t="str">
        <f>IFERROR(__xludf.DUMMYFUNCTION("""COMPUTED_VALUE"""),"Hệ thống học tập thông minh với API GEMINI ")</f>
        <v>Hệ thống học tập thông minh với API GEMINI </v>
      </c>
      <c r="K82" s="9" t="str">
        <f>IFERROR(__xludf.DUMMYFUNCTION("""COMPUTED_VALUE"""),"Hệ thống website trực quan sinh động hỗ trợ học sinh trong việc học các chủ đề  công nghệ AI mới . Có các bài tập theo dạng mô phỏng  tạo hứng thú học tập. Đồng thời kết hợp với 
các API của Gemini để tương tác với người học. AI tạo lộ trình học tập qua b"&amp;"ài kiểm 
tra đánh giá đầu vào của học sinh")</f>
        <v>Hệ thống website trực quan sinh động hỗ trợ học sinh trong việc học các chủ đề  công nghệ AI mới . Có các bài tập theo dạng mô phỏng  tạo hứng thú học tập. Đồng thời kết hợp với 
các API của Gemini để tương tác với người học. AI tạo lộ trình học tập qua bài kiểm 
tra đánh giá đầu vào của học sinh</v>
      </c>
      <c r="L82" s="9" t="str">
        <f>IFERROR(__xludf.DUMMYFUNCTION("""COMPUTED_VALUE"""),"
- Làm bài tập tương tác và nhận xét từ AI. 
- AI sinh lộ trình học tập cho học sinh qua bài kiểm tra 
đầu vào")</f>
        <v>
- Làm bài tập tương tác và nhận xét từ AI. 
- AI sinh lộ trình học tập cho học sinh qua bài kiểm tra 
đầu vào</v>
      </c>
      <c r="M82" s="9"/>
      <c r="N82" s="9"/>
      <c r="O82" s="9"/>
      <c r="P82" s="9"/>
      <c r="Q82" s="9" t="str">
        <f>IFERROR(__xludf.DUMMYFUNCTION("""COMPUTED_VALUE"""),"TNDHLTK22_202610515")</f>
        <v>TNDHLTK22_202610515</v>
      </c>
    </row>
    <row r="83">
      <c r="A83" s="10">
        <f>IFERROR(__xludf.DUMMYFUNCTION("""COMPUTED_VALUE"""),46020.43280166667)</f>
        <v>46020.4328</v>
      </c>
      <c r="B83" s="9" t="str">
        <f>IFERROR(__xludf.DUMMYFUNCTION("""COMPUTED_VALUE"""),"longhihihihi18@gmail.com")</f>
        <v>longhihihihi18@gmail.com</v>
      </c>
      <c r="C83" s="9">
        <f>IFERROR(__xludf.DUMMYFUNCTION("""COMPUTED_VALUE"""),1.22001047E8)</f>
        <v>122001047</v>
      </c>
      <c r="D83" s="9" t="str">
        <f>IFERROR(__xludf.DUMMYFUNCTION("""COMPUTED_VALUE"""),"Chu Hoàng Long")</f>
        <v>Chu Hoàng Long</v>
      </c>
      <c r="E83" s="9" t="str">
        <f>IFERROR(__xludf.DUMMYFUNCTION("""COMPUTED_VALUE"""),"0392837450")</f>
        <v>0392837450</v>
      </c>
      <c r="F83" s="9" t="str">
        <f>IFERROR(__xludf.DUMMYFUNCTION("""COMPUTED_VALUE"""),"22CT114")</f>
        <v>22CT114</v>
      </c>
      <c r="G83" s="9" t="str">
        <f>IFERROR(__xludf.DUMMYFUNCTION("""COMPUTED_VALUE"""),"Thực hiện đồ án tốt nghiệp")</f>
        <v>Thực hiện đồ án tốt nghiệp</v>
      </c>
      <c r="H83" s="9" t="str">
        <f>IFERROR(__xludf.DUMMYFUNCTION("""COMPUTED_VALUE"""),"Phan Thiện Phước")</f>
        <v>Phan Thiện Phước</v>
      </c>
      <c r="I83" s="9"/>
      <c r="J83" s="9" t="str">
        <f>IFERROR(__xludf.DUMMYFUNCTION("""COMPUTED_VALUE"""),"Hệ thống học tập thông minh với API GEMINI")</f>
        <v>Hệ thống học tập thông minh với API GEMINI</v>
      </c>
      <c r="K83" s="9" t="str">
        <f>IFERROR(__xludf.DUMMYFUNCTION("""COMPUTED_VALUE"""),"Xây dựng một hệ thống học tập thông minh ứng dụng API Gemini nhằm hỗ trợ người học cá nhân hóa lộ trình học tập, giải đáp kiến thức tự động và nâng cao hiệu quả tiếp thu.
Hệ thống hướng đến việc giúp người học học tập chủ động hơn, tiết kiệm thời gian, đồ"&amp;"ng thời hỗ trợ giảng viên trong việc theo dõi và đánh giá quá trình học tập của người học.")</f>
        <v>Xây dựng một hệ thống học tập thông minh ứng dụng API Gemini nhằm hỗ trợ người học cá nhân hóa lộ trình học tập, giải đáp kiến thức tự động và nâng cao hiệu quả tiếp thu.
Hệ thống hướng đến việc giúp người học học tập chủ động hơn, tiết kiệm thời gian, đồng thời hỗ trợ giảng viên trong việc theo dõi và đánh giá quá trình học tập của người học.</v>
      </c>
      <c r="L83" s="9" t="str">
        <f>IFERROR(__xludf.DUMMYFUNCTION("""COMPUTED_VALUE"""),"Nghiên cứu tổng quan về mô hình học tập thông minh và khả năng ứng dụng trí tuệ nhân tạo trong giáo dục
Tìm hiểu và tích hợp API Gemini vào hệ thống để xử lý ngôn ngữ tự nhiên và sinh nội dung học tập
Thiết kế và xây dựng hệ thống học tập gồm các chức năn"&amp;"g chính:
Gợi ý nội dung và lộ trình học phù hợp với trình độ người học
Hỗ trợ hỏi – đáp kiến thức tự động
Tạo bài luyện tập và giải thích đáp án
Xây dựng giao diện web thân thiện cho người học
Kiểm thử, đánh giá hiệu quả hệ thống và đề xuất hướng phát tri"&amp;"ển mở rộng trong tương lai")</f>
        <v>Nghiên cứu tổng quan về mô hình học tập thông minh và khả năng ứng dụng trí tuệ nhân tạo trong giáo dục
Tìm hiểu và tích hợp API Gemini vào hệ thống để xử lý ngôn ngữ tự nhiên và sinh nội dung học tập
Thiết kế và xây dựng hệ thống học tập gồm các chức năng chính:
Gợi ý nội dung và lộ trình học phù hợp với trình độ người học
Hỗ trợ hỏi – đáp kiến thức tự động
Tạo bài luyện tập và giải thích đáp án
Xây dựng giao diện web thân thiện cho người học
Kiểm thử, đánh giá hiệu quả hệ thống và đề xuất hướng phát triển mở rộng trong tương lai</v>
      </c>
      <c r="M83" s="9"/>
      <c r="N83" s="9"/>
      <c r="O83" s="9"/>
      <c r="P83" s="9"/>
      <c r="Q83" s="9" t="str">
        <f>IFERROR(__xludf.DUMMYFUNCTION("""COMPUTED_VALUE"""),"TNDHLTK22_202610515")</f>
        <v>TNDHLTK22_202610515</v>
      </c>
    </row>
    <row r="84">
      <c r="A84" s="10">
        <f>IFERROR(__xludf.DUMMYFUNCTION("""COMPUTED_VALUE"""),46020.4329167824)</f>
        <v>46020.43292</v>
      </c>
      <c r="B84" s="9" t="str">
        <f>IFERROR(__xludf.DUMMYFUNCTION("""COMPUTED_VALUE"""),"anhtu300104@gmail.com")</f>
        <v>anhtu300104@gmail.com</v>
      </c>
      <c r="C84" s="9">
        <f>IFERROR(__xludf.DUMMYFUNCTION("""COMPUTED_VALUE"""),1.22000973E8)</f>
        <v>122000973</v>
      </c>
      <c r="D84" s="9" t="str">
        <f>IFERROR(__xludf.DUMMYFUNCTION("""COMPUTED_VALUE"""),"Phạm Trần Anh Tú ")</f>
        <v>Phạm Trần Anh Tú </v>
      </c>
      <c r="E84" s="9" t="str">
        <f>IFERROR(__xludf.DUMMYFUNCTION("""COMPUTED_VALUE"""),"0923390094")</f>
        <v>0923390094</v>
      </c>
      <c r="F84" s="9" t="str">
        <f>IFERROR(__xludf.DUMMYFUNCTION("""COMPUTED_VALUE"""),"22CT113")</f>
        <v>22CT113</v>
      </c>
      <c r="G84" s="9" t="str">
        <f>IFERROR(__xludf.DUMMYFUNCTION("""COMPUTED_VALUE"""),"Thực hiện đồ án tốt nghiệp")</f>
        <v>Thực hiện đồ án tốt nghiệp</v>
      </c>
      <c r="H84" s="9" t="str">
        <f>IFERROR(__xludf.DUMMYFUNCTION("""COMPUTED_VALUE"""),"Phan Thiện Phước")</f>
        <v>Phan Thiện Phước</v>
      </c>
      <c r="I84" s="9" t="str">
        <f>IFERROR(__xludf.DUMMYFUNCTION("""COMPUTED_VALUE"""),"Phan Thiện Phước")</f>
        <v>Phan Thiện Phước</v>
      </c>
      <c r="J84" s="9" t="str">
        <f>IFERROR(__xludf.DUMMYFUNCTION("""COMPUTED_VALUE"""),"Hệ thống học tập thông minh với API GEMINI ")</f>
        <v>Hệ thống học tập thông minh với API GEMINI </v>
      </c>
      <c r="K84" s="9" t="str">
        <f>IFERROR(__xludf.DUMMYFUNCTION("""COMPUTED_VALUE"""),"Xây dựng một hệ thống học tập thông minh ứng dụng API Gemini nhằm hỗ trợ người học cá nhân hóa lộ trình học tập, giải đáp kiến thức tự động và nâng cao hiệu quả tiếp thu.
Hệ thống hướng đến việc giúp người học học tập chủ động hơn, tiết kiệm thời gian, đồ"&amp;"ng thời hỗ trợ giảng viên trong việc theo dõi và đánh giá quá trình học tập của người học.")</f>
        <v>Xây dựng một hệ thống học tập thông minh ứng dụng API Gemini nhằm hỗ trợ người học cá nhân hóa lộ trình học tập, giải đáp kiến thức tự động và nâng cao hiệu quả tiếp thu.
Hệ thống hướng đến việc giúp người học học tập chủ động hơn, tiết kiệm thời gian, đồng thời hỗ trợ giảng viên trong việc theo dõi và đánh giá quá trình học tập của người học.</v>
      </c>
      <c r="L84" s="9" t="str">
        <f>IFERROR(__xludf.DUMMYFUNCTION("""COMPUTED_VALUE"""),"Nghiên cứu tổng quan về mô hình học tập thông minh và khả năng ứng dụng trí tuệ nhân tạo trong giáo dục
Tìm hiểu và tích hợp API Gemini vào hệ thống để xử lý ngôn ngữ tự nhiên và sinh nội dung học tập
Thiết kế và xây dựng hệ thống học tập gồm các chức năn"&amp;"g chính:
Gợi ý nội dung và lộ trình học phù hợp với trình độ người học
Hỗ trợ hỏi – đáp kiến thức tự động
Tạo bài luyện tập và giải thích đáp án
Xây dựng giao diện web thân thiện cho người học
Kiểm thử, đánh giá hiệu quả hệ thống và đề xuất hướng phát tri"&amp;"ển mở rộng trong tương lai")</f>
        <v>Nghiên cứu tổng quan về mô hình học tập thông minh và khả năng ứng dụng trí tuệ nhân tạo trong giáo dục
Tìm hiểu và tích hợp API Gemini vào hệ thống để xử lý ngôn ngữ tự nhiên và sinh nội dung học tập
Thiết kế và xây dựng hệ thống học tập gồm các chức năng chính:
Gợi ý nội dung và lộ trình học phù hợp với trình độ người học
Hỗ trợ hỏi – đáp kiến thức tự động
Tạo bài luyện tập và giải thích đáp án
Xây dựng giao diện web thân thiện cho người học
Kiểm thử, đánh giá hiệu quả hệ thống và đề xuất hướng phát triển mở rộng trong tương lai</v>
      </c>
      <c r="M84" s="9"/>
      <c r="N84" s="9"/>
      <c r="O84" s="9"/>
      <c r="P84" s="9"/>
      <c r="Q84" s="9" t="str">
        <f>IFERROR(__xludf.DUMMYFUNCTION("""COMPUTED_VALUE"""),"TNDHLTK22_202610515")</f>
        <v>TNDHLTK22_202610515</v>
      </c>
    </row>
    <row r="85">
      <c r="A85" s="10">
        <f>IFERROR(__xludf.DUMMYFUNCTION("""COMPUTED_VALUE"""),46020.56825939815)</f>
        <v>46020.56826</v>
      </c>
      <c r="B85" s="9" t="str">
        <f>IFERROR(__xludf.DUMMYFUNCTION("""COMPUTED_VALUE"""),"tienphucn970@gmail.com")</f>
        <v>tienphucn970@gmail.com</v>
      </c>
      <c r="C85" s="9">
        <f>IFERROR(__xludf.DUMMYFUNCTION("""COMPUTED_VALUE"""),1.22000682E8)</f>
        <v>122000682</v>
      </c>
      <c r="D85" s="9" t="str">
        <f>IFERROR(__xludf.DUMMYFUNCTION("""COMPUTED_VALUE"""),"Nguyễn Tiến Phúc")</f>
        <v>Nguyễn Tiến Phúc</v>
      </c>
      <c r="E85" s="9" t="str">
        <f>IFERROR(__xludf.DUMMYFUNCTION("""COMPUTED_VALUE"""),"0824646679")</f>
        <v>0824646679</v>
      </c>
      <c r="F85" s="9" t="str">
        <f>IFERROR(__xludf.DUMMYFUNCTION("""COMPUTED_VALUE"""),"22CT111")</f>
        <v>22CT111</v>
      </c>
      <c r="G85" s="9" t="str">
        <f>IFERROR(__xludf.DUMMYFUNCTION("""COMPUTED_VALUE"""),"Thực hiện đồ án tốt nghiệp")</f>
        <v>Thực hiện đồ án tốt nghiệp</v>
      </c>
      <c r="H85" s="9" t="str">
        <f>IFERROR(__xludf.DUMMYFUNCTION("""COMPUTED_VALUE"""),"Nguyễn Minh Phúc")</f>
        <v>Nguyễn Minh Phúc</v>
      </c>
      <c r="I85" s="9"/>
      <c r="J85" s="9" t="str">
        <f>IFERROR(__xludf.DUMMYFUNCTION("""COMPUTED_VALUE"""),"Đề xuất bài tập theo cấp độ nâng lực")</f>
        <v>Đề xuất bài tập theo cấp độ nâng lực</v>
      </c>
      <c r="K85" s="9" t="str">
        <f>IFERROR(__xludf.DUMMYFUNCTION("""COMPUTED_VALUE"""),"Hoàn thành giao diện, liên kết được các dữ liệu sinh viên và đóng gói sản phẩm ")</f>
        <v>Hoàn thành giao diện, liên kết được các dữ liệu sinh viên và đóng gói sản phẩm </v>
      </c>
      <c r="L85" s="9" t="str">
        <f>IFERROR(__xludf.DUMMYFUNCTION("""COMPUTED_VALUE"""),"Theo các tuần đã đề ra theo lịch trình ")</f>
        <v>Theo các tuần đã đề ra theo lịch trình </v>
      </c>
      <c r="M85" s="9"/>
      <c r="N85" s="9"/>
      <c r="O85" s="9"/>
      <c r="P85" s="9"/>
      <c r="Q85" s="9" t="str">
        <f>IFERROR(__xludf.DUMMYFUNCTION("""COMPUTED_VALUE"""),"TNDHLTK22_202610515")</f>
        <v>TNDHLTK22_202610515</v>
      </c>
    </row>
    <row r="86">
      <c r="A86" s="10">
        <f>IFERROR(__xludf.DUMMYFUNCTION("""COMPUTED_VALUE"""),46020.63975497685)</f>
        <v>46020.63975</v>
      </c>
      <c r="B86" s="9" t="str">
        <f>IFERROR(__xludf.DUMMYFUNCTION("""COMPUTED_VALUE"""),"truonghoa28082004@gmail.com")</f>
        <v>truonghoa28082004@gmail.com</v>
      </c>
      <c r="C86" s="9">
        <f>IFERROR(__xludf.DUMMYFUNCTION("""COMPUTED_VALUE"""),1.22000093E8)</f>
        <v>122000093</v>
      </c>
      <c r="D86" s="9" t="str">
        <f>IFERROR(__xludf.DUMMYFUNCTION("""COMPUTED_VALUE"""),"Trương Quốc Hòa")</f>
        <v>Trương Quốc Hòa</v>
      </c>
      <c r="E86" s="9" t="str">
        <f>IFERROR(__xludf.DUMMYFUNCTION("""COMPUTED_VALUE"""),"0778754895")</f>
        <v>0778754895</v>
      </c>
      <c r="F86" s="9" t="str">
        <f>IFERROR(__xludf.DUMMYFUNCTION("""COMPUTED_VALUE"""),"22CT111")</f>
        <v>22CT111</v>
      </c>
      <c r="G86" s="9" t="str">
        <f>IFERROR(__xludf.DUMMYFUNCTION("""COMPUTED_VALUE"""),"Thực hiện đồ án tốt nghiệp")</f>
        <v>Thực hiện đồ án tốt nghiệp</v>
      </c>
      <c r="H86" s="9" t="str">
        <f>IFERROR(__xludf.DUMMYFUNCTION("""COMPUTED_VALUE"""),"Nguyễn Minh Phúc")</f>
        <v>Nguyễn Minh Phúc</v>
      </c>
      <c r="I86" s="9"/>
      <c r="J86" s="9" t="str">
        <f>IFERROR(__xludf.DUMMYFUNCTION("""COMPUTED_VALUE"""),"Phát hiện đạo văn trong bài tập lập trình")</f>
        <v>Phát hiện đạo văn trong bài tập lập trình</v>
      </c>
      <c r="K86" s="9" t="str">
        <f>IFERROR(__xludf.DUMMYFUNCTION("""COMPUTED_VALUE"""),"Phân tích, so sánh mã nguồn dựa trên cấu trúc và logic thông qua thuật toán hoặc phương pháp so khớp, không chỉ dựa vào sự giống nhau về mặt cú pháp.
Xây dựng một hệ thống thân thiện, dễ sử dụng cho giảng viên, tích hợp khả năng báo cáo và trực quan hóa k"&amp;"ết quả.")</f>
        <v>Phân tích, so sánh mã nguồn dựa trên cấu trúc và logic thông qua thuật toán hoặc phương pháp so khớp, không chỉ dựa vào sự giống nhau về mặt cú pháp.
Xây dựng một hệ thống thân thiện, dễ sử dụng cho giảng viên, tích hợp khả năng báo cáo và trực quan hóa kết quả.</v>
      </c>
      <c r="L86" s="9" t="str">
        <f>IFERROR(__xludf.DUMMYFUNCTION("""COMPUTED_VALUE"""),"Triển khai 1 ứng dụng web cho phép giảng viên đưa bài tập của sinh viên lên theo dạng file nén (.zip hoặc .rar) và hệ thống sẽ tiến hành xử lý, phân tích và đưa ra tỷ lệ phần trăm đạo văn, ma trận tương đồng giữa các bài tập để dễ dàng quan sát và chấm đi"&amp;"ểm một cách trực quan hơn, dễ dàng hơn và công bằng hơn.")</f>
        <v>Triển khai 1 ứng dụng web cho phép giảng viên đưa bài tập của sinh viên lên theo dạng file nén (.zip hoặc .rar) và hệ thống sẽ tiến hành xử lý, phân tích và đưa ra tỷ lệ phần trăm đạo văn, ma trận tương đồng giữa các bài tập để dễ dàng quan sát và chấm điểm một cách trực quan hơn, dễ dàng hơn và công bằng hơn.</v>
      </c>
      <c r="M86" s="9"/>
      <c r="N86" s="9"/>
      <c r="O86" s="9"/>
      <c r="P86" s="9"/>
      <c r="Q86" s="9" t="str">
        <f>IFERROR(__xludf.DUMMYFUNCTION("""COMPUTED_VALUE"""),"TNDHLTK22_202610515")</f>
        <v>TNDHLTK22_202610515</v>
      </c>
    </row>
    <row r="87">
      <c r="A87" s="10">
        <f>IFERROR(__xludf.DUMMYFUNCTION("""COMPUTED_VALUE"""),46020.641372349535)</f>
        <v>46020.64137</v>
      </c>
      <c r="B87" s="9" t="str">
        <f>IFERROR(__xludf.DUMMYFUNCTION("""COMPUTED_VALUE"""),"sivo.280400@gmail.com")</f>
        <v>sivo.280400@gmail.com</v>
      </c>
      <c r="C87" s="9">
        <f>IFERROR(__xludf.DUMMYFUNCTION("""COMPUTED_VALUE"""),1.22001067E8)</f>
        <v>122001067</v>
      </c>
      <c r="D87" s="9" t="str">
        <f>IFERROR(__xludf.DUMMYFUNCTION("""COMPUTED_VALUE"""),"Võ Tuấn Sĩ")</f>
        <v>Võ Tuấn Sĩ</v>
      </c>
      <c r="E87" s="9" t="str">
        <f>IFERROR(__xludf.DUMMYFUNCTION("""COMPUTED_VALUE"""),"0329135161")</f>
        <v>0329135161</v>
      </c>
      <c r="F87" s="9" t="str">
        <f>IFERROR(__xludf.DUMMYFUNCTION("""COMPUTED_VALUE"""),"22CT112")</f>
        <v>22CT112</v>
      </c>
      <c r="G87" s="9" t="str">
        <f>IFERROR(__xludf.DUMMYFUNCTION("""COMPUTED_VALUE"""),"Đặc cách tốt nghiệp")</f>
        <v>Đặc cách tốt nghiệp</v>
      </c>
      <c r="H87" s="9" t="str">
        <f>IFERROR(__xludf.DUMMYFUNCTION("""COMPUTED_VALUE"""),"Đặc cách tốt nghiệp")</f>
        <v>Đặc cách tốt nghiệp</v>
      </c>
      <c r="I87" s="9"/>
      <c r="J87" s="9"/>
      <c r="K87" s="9"/>
      <c r="L87" s="9"/>
      <c r="M87" s="9"/>
      <c r="N87" s="9" t="str">
        <f>IFERROR(__xludf.DUMMYFUNCTION("""COMPUTED_VALUE"""),"Có giải thưởng trong các cuộc thi khoa học công nghệ (Nhất, nhì, ba, Khuyến khích)")</f>
        <v>Có giải thưởng trong các cuộc thi khoa học công nghệ (Nhất, nhì, ba, Khuyến khích)</v>
      </c>
      <c r="O87" s="9">
        <f>IFERROR(__xludf.DUMMYFUNCTION("""COMPUTED_VALUE"""),10.0)</f>
        <v>10</v>
      </c>
      <c r="P87" s="11" t="str">
        <f>IFERROR(__xludf.DUMMYFUNCTION("""COMPUTED_VALUE"""),"https://drive.google.com/open?id=18oYjPAt_1FQsz-Mp0xlk9b7TjYwEuudH")</f>
        <v>https://drive.google.com/open?id=18oYjPAt_1FQsz-Mp0xlk9b7TjYwEuudH</v>
      </c>
      <c r="Q87" s="9" t="str">
        <f>IFERROR(__xludf.DUMMYFUNCTION("""COMPUTED_VALUE"""),"TNDHLTK22_202610515")</f>
        <v>TNDHLTK22_202610515</v>
      </c>
    </row>
    <row r="88">
      <c r="A88" s="10">
        <f>IFERROR(__xludf.DUMMYFUNCTION("""COMPUTED_VALUE"""),46020.64214138889)</f>
        <v>46020.64214</v>
      </c>
      <c r="B88" s="9" t="str">
        <f>IFERROR(__xludf.DUMMYFUNCTION("""COMPUTED_VALUE"""),"phambaominhthe1101@gmail.com")</f>
        <v>phambaominhthe1101@gmail.com</v>
      </c>
      <c r="C88" s="9">
        <f>IFERROR(__xludf.DUMMYFUNCTION("""COMPUTED_VALUE"""),1.2200076E8)</f>
        <v>122000760</v>
      </c>
      <c r="D88" s="9" t="str">
        <f>IFERROR(__xludf.DUMMYFUNCTION("""COMPUTED_VALUE"""),"Phạm Bảo Minh Thế")</f>
        <v>Phạm Bảo Minh Thế</v>
      </c>
      <c r="E88" s="9" t="str">
        <f>IFERROR(__xludf.DUMMYFUNCTION("""COMPUTED_VALUE"""),"0985078964")</f>
        <v>0985078964</v>
      </c>
      <c r="F88" s="9" t="str">
        <f>IFERROR(__xludf.DUMMYFUNCTION("""COMPUTED_VALUE"""),"22CT112")</f>
        <v>22CT112</v>
      </c>
      <c r="G88" s="9" t="str">
        <f>IFERROR(__xludf.DUMMYFUNCTION("""COMPUTED_VALUE"""),"Đặc cách tốt nghiệp")</f>
        <v>Đặc cách tốt nghiệp</v>
      </c>
      <c r="H88" s="9" t="str">
        <f>IFERROR(__xludf.DUMMYFUNCTION("""COMPUTED_VALUE"""),"Đặc cách tốt nghiệp")</f>
        <v>Đặc cách tốt nghiệp</v>
      </c>
      <c r="I88" s="9"/>
      <c r="J88" s="9"/>
      <c r="K88" s="9"/>
      <c r="L88" s="9"/>
      <c r="M88" s="9"/>
      <c r="N88" s="9" t="str">
        <f>IFERROR(__xludf.DUMMYFUNCTION("""COMPUTED_VALUE"""),"Có giải thưởng trong các cuộc thi khoa học công nghệ ")</f>
        <v>Có giải thưởng trong các cuộc thi khoa học công nghệ </v>
      </c>
      <c r="O88" s="9">
        <f>IFERROR(__xludf.DUMMYFUNCTION("""COMPUTED_VALUE"""),10.0)</f>
        <v>10</v>
      </c>
      <c r="P88" s="11" t="str">
        <f>IFERROR(__xludf.DUMMYFUNCTION("""COMPUTED_VALUE"""),"https://drive.google.com/open?id=1N2E5Z5z5yBjEXfCzI2l3JXO0TIBtfQeh")</f>
        <v>https://drive.google.com/open?id=1N2E5Z5z5yBjEXfCzI2l3JXO0TIBtfQeh</v>
      </c>
      <c r="Q88" s="9" t="str">
        <f>IFERROR(__xludf.DUMMYFUNCTION("""COMPUTED_VALUE"""),"TNDHLTK22_202610515")</f>
        <v>TNDHLTK22_202610515</v>
      </c>
    </row>
    <row r="89">
      <c r="A89" s="10">
        <f>IFERROR(__xludf.DUMMYFUNCTION("""COMPUTED_VALUE"""),46020.64242753472)</f>
        <v>46020.64243</v>
      </c>
      <c r="B89" s="9" t="str">
        <f>IFERROR(__xludf.DUMMYFUNCTION("""COMPUTED_VALUE"""),"hoanggiahuyb2112@gmail.com")</f>
        <v>hoanggiahuyb2112@gmail.com</v>
      </c>
      <c r="C89" s="9">
        <f>IFERROR(__xludf.DUMMYFUNCTION("""COMPUTED_VALUE"""),1.22001277E8)</f>
        <v>122001277</v>
      </c>
      <c r="D89" s="9" t="str">
        <f>IFERROR(__xludf.DUMMYFUNCTION("""COMPUTED_VALUE"""),"Hoàng Gia Huy")</f>
        <v>Hoàng Gia Huy</v>
      </c>
      <c r="E89" s="9" t="str">
        <f>IFERROR(__xludf.DUMMYFUNCTION("""COMPUTED_VALUE"""),"0971042524")</f>
        <v>0971042524</v>
      </c>
      <c r="F89" s="9" t="str">
        <f>IFERROR(__xludf.DUMMYFUNCTION("""COMPUTED_VALUE"""),"22CT112")</f>
        <v>22CT112</v>
      </c>
      <c r="G89" s="9" t="str">
        <f>IFERROR(__xludf.DUMMYFUNCTION("""COMPUTED_VALUE"""),"Đặc cách tốt nghiệp")</f>
        <v>Đặc cách tốt nghiệp</v>
      </c>
      <c r="H89" s="9" t="str">
        <f>IFERROR(__xludf.DUMMYFUNCTION("""COMPUTED_VALUE"""),"Đặc cách tốt nghiệp")</f>
        <v>Đặc cách tốt nghiệp</v>
      </c>
      <c r="I89" s="9"/>
      <c r="J89" s="9"/>
      <c r="K89" s="9"/>
      <c r="L89" s="9"/>
      <c r="M89" s="9"/>
      <c r="N89" s="9" t="str">
        <f>IFERROR(__xludf.DUMMYFUNCTION("""COMPUTED_VALUE"""),"2. Có giải thưởng trong các cuộc thi khoa học công nghệ")</f>
        <v>2. Có giải thưởng trong các cuộc thi khoa học công nghệ</v>
      </c>
      <c r="O89" s="9">
        <f>IFERROR(__xludf.DUMMYFUNCTION("""COMPUTED_VALUE"""),10.0)</f>
        <v>10</v>
      </c>
      <c r="P89" s="11" t="str">
        <f>IFERROR(__xludf.DUMMYFUNCTION("""COMPUTED_VALUE"""),"https://drive.google.com/open?id=1xqrP4y-oIhkWgaYw9OptdsEYBy1mN5oH")</f>
        <v>https://drive.google.com/open?id=1xqrP4y-oIhkWgaYw9OptdsEYBy1mN5oH</v>
      </c>
      <c r="Q89" s="9" t="str">
        <f>IFERROR(__xludf.DUMMYFUNCTION("""COMPUTED_VALUE"""),"TNDHLTK22_202610515")</f>
        <v>TNDHLTK22_202610515</v>
      </c>
    </row>
    <row r="90">
      <c r="A90" s="10">
        <f>IFERROR(__xludf.DUMMYFUNCTION("""COMPUTED_VALUE"""),46020.64247413195)</f>
        <v>46020.64247</v>
      </c>
      <c r="B90" s="9" t="str">
        <f>IFERROR(__xludf.DUMMYFUNCTION("""COMPUTED_VALUE"""),"nguyentrungnghia.lhu@gmail.com")</f>
        <v>nguyentrungnghia.lhu@gmail.com</v>
      </c>
      <c r="C90" s="9">
        <f>IFERROR(__xludf.DUMMYFUNCTION("""COMPUTED_VALUE"""),1.2200009E8)</f>
        <v>122000090</v>
      </c>
      <c r="D90" s="9" t="str">
        <f>IFERROR(__xludf.DUMMYFUNCTION("""COMPUTED_VALUE"""),"Nguyễn Trung Nghĩa")</f>
        <v>Nguyễn Trung Nghĩa</v>
      </c>
      <c r="E90" s="9" t="str">
        <f>IFERROR(__xludf.DUMMYFUNCTION("""COMPUTED_VALUE"""),"0839446137")</f>
        <v>0839446137</v>
      </c>
      <c r="F90" s="9" t="str">
        <f>IFERROR(__xludf.DUMMYFUNCTION("""COMPUTED_VALUE"""),"22CT111")</f>
        <v>22CT111</v>
      </c>
      <c r="G90" s="9" t="str">
        <f>IFERROR(__xludf.DUMMYFUNCTION("""COMPUTED_VALUE"""),"Thực hiện đồ án tốt nghiệp")</f>
        <v>Thực hiện đồ án tốt nghiệp</v>
      </c>
      <c r="H90" s="9" t="str">
        <f>IFERROR(__xludf.DUMMYFUNCTION("""COMPUTED_VALUE"""),"Nguyễn Minh Phúc")</f>
        <v>Nguyễn Minh Phúc</v>
      </c>
      <c r="I90" s="9"/>
      <c r="J90" s="9" t="str">
        <f>IFERROR(__xludf.DUMMYFUNCTION("""COMPUTED_VALUE"""),"Phát hiện đạo văn trong bài tập lập trình ")</f>
        <v>Phát hiện đạo văn trong bài tập lập trình </v>
      </c>
      <c r="K90" s="9" t="str">
        <f>IFERROR(__xludf.DUMMYFUNCTION("""COMPUTED_VALUE"""),"Phân tích, so sánh mã nguồn dựa trên cấu trúc và logic thông qua thuật toán hoặc phương
pháp so khớp, không chỉ dựa vào sự giống nhau về mặt cú pháp.
Xây dựng một hệ thống thân thiện, dễ sử dụng cho giảng viên, tích hợp khả năng báo cáo và
trực quan hóa k"&amp;"ết quả.")</f>
        <v>Phân tích, so sánh mã nguồn dựa trên cấu trúc và logic thông qua thuật toán hoặc phương
pháp so khớp, không chỉ dựa vào sự giống nhau về mặt cú pháp.
Xây dựng một hệ thống thân thiện, dễ sử dụng cho giảng viên, tích hợp khả năng báo cáo và
trực quan hóa kết quả.</v>
      </c>
      <c r="L90" s="9" t="str">
        <f>IFERROR(__xludf.DUMMYFUNCTION("""COMPUTED_VALUE"""),"Triển khai 1 ứng dụng web cho phép giảng viên đưa bài tập của sinh viên lên theo dạng file
nén (.zip hoặc .rar) và hệ thống sẽ tiến hành xử lý, phân tích và đưa ra tỷ lệ phần trăm đạo
văn, ma trận tương đồng giữa các bài tập để dễ dàng quan sát và chấm đi"&amp;"ểm một cách trực
quan hơn, dễ dàng hơn và công bằng hơn.")</f>
        <v>Triển khai 1 ứng dụng web cho phép giảng viên đưa bài tập của sinh viên lên theo dạng file
nén (.zip hoặc .rar) và hệ thống sẽ tiến hành xử lý, phân tích và đưa ra tỷ lệ phần trăm đạo
văn, ma trận tương đồng giữa các bài tập để dễ dàng quan sát và chấm điểm một cách trực
quan hơn, dễ dàng hơn và công bằng hơn.</v>
      </c>
      <c r="M90" s="9"/>
      <c r="N90" s="9"/>
      <c r="O90" s="9"/>
      <c r="P90" s="9"/>
      <c r="Q90" s="9" t="str">
        <f>IFERROR(__xludf.DUMMYFUNCTION("""COMPUTED_VALUE"""),"TNDHLTK22_202610515")</f>
        <v>TNDHLTK22_202610515</v>
      </c>
    </row>
    <row r="91">
      <c r="A91" s="10">
        <f>IFERROR(__xludf.DUMMYFUNCTION("""COMPUTED_VALUE"""),46020.64273445602)</f>
        <v>46020.64273</v>
      </c>
      <c r="B91" s="9" t="str">
        <f>IFERROR(__xludf.DUMMYFUNCTION("""COMPUTED_VALUE"""),"vamnaone@gmail.com")</f>
        <v>vamnaone@gmail.com</v>
      </c>
      <c r="C91" s="9">
        <f>IFERROR(__xludf.DUMMYFUNCTION("""COMPUTED_VALUE"""),1.22000757E8)</f>
        <v>122000757</v>
      </c>
      <c r="D91" s="9" t="str">
        <f>IFERROR(__xludf.DUMMYFUNCTION("""COMPUTED_VALUE"""),"Nguyễn Hoàng Hưng")</f>
        <v>Nguyễn Hoàng Hưng</v>
      </c>
      <c r="E91" s="9" t="str">
        <f>IFERROR(__xludf.DUMMYFUNCTION("""COMPUTED_VALUE"""),"0833911375")</f>
        <v>0833911375</v>
      </c>
      <c r="F91" s="9" t="str">
        <f>IFERROR(__xludf.DUMMYFUNCTION("""COMPUTED_VALUE"""),"22CT112")</f>
        <v>22CT112</v>
      </c>
      <c r="G91" s="9" t="str">
        <f>IFERROR(__xludf.DUMMYFUNCTION("""COMPUTED_VALUE"""),"Đặc cách tốt nghiệp")</f>
        <v>Đặc cách tốt nghiệp</v>
      </c>
      <c r="H91" s="9" t="str">
        <f>IFERROR(__xludf.DUMMYFUNCTION("""COMPUTED_VALUE"""),"Đặc cách tốt nghiệp")</f>
        <v>Đặc cách tốt nghiệp</v>
      </c>
      <c r="I91" s="9"/>
      <c r="J91" s="9"/>
      <c r="K91" s="9"/>
      <c r="L91" s="9"/>
      <c r="M91" s="9"/>
      <c r="N91" s="9">
        <f>IFERROR(__xludf.DUMMYFUNCTION("""COMPUTED_VALUE"""),2.0)</f>
        <v>2</v>
      </c>
      <c r="O91" s="9">
        <f>IFERROR(__xludf.DUMMYFUNCTION("""COMPUTED_VALUE"""),10.0)</f>
        <v>10</v>
      </c>
      <c r="P91" s="11" t="str">
        <f>IFERROR(__xludf.DUMMYFUNCTION("""COMPUTED_VALUE"""),"https://drive.google.com/open?id=14bx-r0z8BodKD6dH0KVMWEWhQxKO-tNy")</f>
        <v>https://drive.google.com/open?id=14bx-r0z8BodKD6dH0KVMWEWhQxKO-tNy</v>
      </c>
      <c r="Q91" s="9" t="str">
        <f>IFERROR(__xludf.DUMMYFUNCTION("""COMPUTED_VALUE"""),"TNDHLTK22_202610515")</f>
        <v>TNDHLTK22_202610515</v>
      </c>
    </row>
    <row r="92">
      <c r="A92" s="10">
        <f>IFERROR(__xludf.DUMMYFUNCTION("""COMPUTED_VALUE"""),46020.64908945602)</f>
        <v>46020.64909</v>
      </c>
      <c r="B92" s="9" t="str">
        <f>IFERROR(__xludf.DUMMYFUNCTION("""COMPUTED_VALUE"""),"nguyenhuunhat369@gmail.com")</f>
        <v>nguyenhuunhat369@gmail.com</v>
      </c>
      <c r="C92" s="9">
        <f>IFERROR(__xludf.DUMMYFUNCTION("""COMPUTED_VALUE"""),1.2200051E8)</f>
        <v>122000510</v>
      </c>
      <c r="D92" s="9" t="str">
        <f>IFERROR(__xludf.DUMMYFUNCTION("""COMPUTED_VALUE"""),"Nguyễn Hữu Nhật")</f>
        <v>Nguyễn Hữu Nhật</v>
      </c>
      <c r="E92" s="9" t="str">
        <f>IFERROR(__xludf.DUMMYFUNCTION("""COMPUTED_VALUE"""),"0377671847")</f>
        <v>0377671847</v>
      </c>
      <c r="F92" s="9" t="str">
        <f>IFERROR(__xludf.DUMMYFUNCTION("""COMPUTED_VALUE"""),"22CT113")</f>
        <v>22CT113</v>
      </c>
      <c r="G92" s="9" t="str">
        <f>IFERROR(__xludf.DUMMYFUNCTION("""COMPUTED_VALUE"""),"Thực hiện đồ án tốt nghiệp")</f>
        <v>Thực hiện đồ án tốt nghiệp</v>
      </c>
      <c r="H92" s="9" t="str">
        <f>IFERROR(__xludf.DUMMYFUNCTION("""COMPUTED_VALUE"""),"Nguyễn Minh Sơn")</f>
        <v>Nguyễn Minh Sơn</v>
      </c>
      <c r="I92" s="9"/>
      <c r="J92" s="9" t="str">
        <f>IFERROR(__xludf.DUMMYFUNCTION("""COMPUTED_VALUE"""),"Ứng dụng AI tạo mô tả sản phẩm tự động cho các sàn thương mại điện tử.")</f>
        <v>Ứng dụng AI tạo mô tả sản phẩm tự động cho các sàn thương mại điện tử.</v>
      </c>
      <c r="K92" s="9" t="str">
        <f>IFERROR(__xludf.DUMMYFUNCTION("""COMPUTED_VALUE"""),"Phát triển ứng dụng hoàn chỉnh")</f>
        <v>Phát triển ứng dụng hoàn chỉnh</v>
      </c>
      <c r="L92" s="9" t="str">
        <f>IFERROR(__xludf.DUMMYFUNCTION("""COMPUTED_VALUE"""),"1. Mở rộng AI: Huấn luyện hoặc tinh chỉnh prompt để hỗ trợ nhiều ngành hàng khác ngoài trái cây (thời trang, đồ gia dụng)
2. Đa ngôn ngữ: Hỗ trợ tạo nội dung và giọng đọc tiếng Anh, tiếng Trung để phục vụ xuất khẩu
 3. Tích hợp Mạng xã hội: Đăng bài tự độ"&amp;"ng lên Fanpage Facebook hoặc TikTok từ ứng dụng")</f>
        <v>1. Mở rộng AI: Huấn luyện hoặc tinh chỉnh prompt để hỗ trợ nhiều ngành hàng khác ngoài trái cây (thời trang, đồ gia dụng)
2. Đa ngôn ngữ: Hỗ trợ tạo nội dung và giọng đọc tiếng Anh, tiếng Trung để phục vụ xuất khẩu
 3. Tích hợp Mạng xã hội: Đăng bài tự động lên Fanpage Facebook hoặc TikTok từ ứng dụng</v>
      </c>
      <c r="M92" s="9"/>
      <c r="N92" s="9"/>
      <c r="O92" s="9"/>
      <c r="P92" s="9"/>
      <c r="Q92" s="9" t="str">
        <f>IFERROR(__xludf.DUMMYFUNCTION("""COMPUTED_VALUE"""),"TNDHLTK22_202610515")</f>
        <v>TNDHLTK22_202610515</v>
      </c>
    </row>
    <row r="93">
      <c r="A93" s="10">
        <f>IFERROR(__xludf.DUMMYFUNCTION("""COMPUTED_VALUE"""),46020.65030527778)</f>
        <v>46020.65031</v>
      </c>
      <c r="B93" s="9" t="str">
        <f>IFERROR(__xludf.DUMMYFUNCTION("""COMPUTED_VALUE"""),"mdung07102004@gmail.com")</f>
        <v>mdung07102004@gmail.com</v>
      </c>
      <c r="C93" s="9">
        <f>IFERROR(__xludf.DUMMYFUNCTION("""COMPUTED_VALUE"""),1.22001061E8)</f>
        <v>122001061</v>
      </c>
      <c r="D93" s="9" t="str">
        <f>IFERROR(__xludf.DUMMYFUNCTION("""COMPUTED_VALUE"""),"Phùng Mạnh Dũng")</f>
        <v>Phùng Mạnh Dũng</v>
      </c>
      <c r="E93" s="9" t="str">
        <f>IFERROR(__xludf.DUMMYFUNCTION("""COMPUTED_VALUE"""),"0349106174")</f>
        <v>0349106174</v>
      </c>
      <c r="F93" s="9" t="str">
        <f>IFERROR(__xludf.DUMMYFUNCTION("""COMPUTED_VALUE"""),"22CT113")</f>
        <v>22CT113</v>
      </c>
      <c r="G93" s="9" t="str">
        <f>IFERROR(__xludf.DUMMYFUNCTION("""COMPUTED_VALUE"""),"Thực hiện đồ án tốt nghiệp")</f>
        <v>Thực hiện đồ án tốt nghiệp</v>
      </c>
      <c r="H93" s="9" t="str">
        <f>IFERROR(__xludf.DUMMYFUNCTION("""COMPUTED_VALUE"""),"Nguyễn Minh Sơn")</f>
        <v>Nguyễn Minh Sơn</v>
      </c>
      <c r="I93" s="9"/>
      <c r="J93" s="9" t="str">
        <f>IFERROR(__xludf.DUMMYFUNCTION("""COMPUTED_VALUE"""),"ỨNG DỤNG AI  TẠO MÔ TẢ SẢN Phẩm TỰ ĐỘNG CHO CÁC SÀN THƯƠNG MẠI ĐIỆN TỬ")</f>
        <v>ỨNG DỤNG AI  TẠO MÔ TẢ SẢN Phẩm TỰ ĐỘNG CHO CÁC SÀN THƯƠNG MẠI ĐIỆN TỬ</v>
      </c>
      <c r="K93" s="9" t="str">
        <f>IFERROR(__xludf.DUMMYFUNCTION("""COMPUTED_VALUE"""),"Phát triển hoàn thiện ứng dụng")</f>
        <v>Phát triển hoàn thiện ứng dụng</v>
      </c>
      <c r="L93" s="9" t="str">
        <f>IFERROR(__xludf.DUMMYFUNCTION("""COMPUTED_VALUE"""),"1. Mở rộng AI: Huấn luyện hoặc tinh chỉnh prompt để hỗ trợ nhiều ngành hàng khác ngoài trái cây (thời trang, đồ gia dụng)
2. Đa ngôn ngữ: Hỗ trợ tạo nội dung và giọng đọc tiếng Anh, tiếng Trung để phục vụ xuất 
3. khẩu Tích hợp Mạng xã hội: Đăng bài tự độ"&amp;"ng lên Fanpage Facebook hoặc TikTok từ ứng dụng")</f>
        <v>1. Mở rộng AI: Huấn luyện hoặc tinh chỉnh prompt để hỗ trợ nhiều ngành hàng khác ngoài trái cây (thời trang, đồ gia dụng)
2. Đa ngôn ngữ: Hỗ trợ tạo nội dung và giọng đọc tiếng Anh, tiếng Trung để phục vụ xuất 
3. khẩu Tích hợp Mạng xã hội: Đăng bài tự động lên Fanpage Facebook hoặc TikTok từ ứng dụng</v>
      </c>
      <c r="M93" s="9"/>
      <c r="N93" s="9"/>
      <c r="O93" s="9"/>
      <c r="P93" s="9"/>
      <c r="Q93" s="9" t="str">
        <f>IFERROR(__xludf.DUMMYFUNCTION("""COMPUTED_VALUE"""),"TNDHLTK22_202610515")</f>
        <v>TNDHLTK22_202610515</v>
      </c>
    </row>
    <row r="94">
      <c r="A94" s="10">
        <f>IFERROR(__xludf.DUMMYFUNCTION("""COMPUTED_VALUE"""),46020.72253388889)</f>
        <v>46020.72253</v>
      </c>
      <c r="B94" s="9" t="str">
        <f>IFERROR(__xludf.DUMMYFUNCTION("""COMPUTED_VALUE"""),"nguyenthanhtrung2003vn@gmail.com")</f>
        <v>nguyenthanhtrung2003vn@gmail.com</v>
      </c>
      <c r="C94" s="9">
        <f>IFERROR(__xludf.DUMMYFUNCTION("""COMPUTED_VALUE"""),1.21001164E8)</f>
        <v>121001164</v>
      </c>
      <c r="D94" s="9" t="str">
        <f>IFERROR(__xludf.DUMMYFUNCTION("""COMPUTED_VALUE"""),"Nguyễn Thành Trung")</f>
        <v>Nguyễn Thành Trung</v>
      </c>
      <c r="E94" s="9" t="str">
        <f>IFERROR(__xludf.DUMMYFUNCTION("""COMPUTED_VALUE"""),"0815339787")</f>
        <v>0815339787</v>
      </c>
      <c r="F94" s="9" t="str">
        <f>IFERROR(__xludf.DUMMYFUNCTION("""COMPUTED_VALUE"""),"22CT114")</f>
        <v>22CT114</v>
      </c>
      <c r="G94" s="9" t="str">
        <f>IFERROR(__xludf.DUMMYFUNCTION("""COMPUTED_VALUE"""),"Thực hiện đồ án tốt nghiệp")</f>
        <v>Thực hiện đồ án tốt nghiệp</v>
      </c>
      <c r="H94" s="9" t="str">
        <f>IFERROR(__xludf.DUMMYFUNCTION("""COMPUTED_VALUE"""),"Phan Mạnh Thường")</f>
        <v>Phan Mạnh Thường</v>
      </c>
      <c r="I94" s="9"/>
      <c r="J94" s="9" t="str">
        <f>IFERROR(__xludf.DUMMYFUNCTION("""COMPUTED_VALUE"""),"Tạo Giọng Nói Nhân Bản (Voice Cloning)")</f>
        <v>Tạo Giọng Nói Nhân Bản (Voice Cloning)</v>
      </c>
      <c r="K94" s="9" t="str">
        <f>IFERROR(__xludf.DUMMYFUNCTION("""COMPUTED_VALUE"""),"Nhập văn bản đầu vào, chọn file âm thanh mẫu và sinh file âm thanh có giọng nói giống người mẫu.")</f>
        <v>Nhập văn bản đầu vào, chọn file âm thanh mẫu và sinh file âm thanh có giọng nói giống người mẫu.</v>
      </c>
      <c r="L94" s="9" t="str">
        <f>IFERROR(__xludf.DUMMYFUNCTION("""COMPUTED_VALUE"""),"- Tìm hiểu khái niệm và nguyên lý của Voice Cloning.
- Xác định mục tiêu, phạm vi và yêu cầu của đề tài.
- Tìm kiếm, lựa chọn Dataset và Model phù hợp.
- Tìm hiểu cấu trúc mô hình và quy trình huấn luyện.
- Phân tích và tiến hành tiền xử lý dữ liệu của Da"&amp;"taset.
- Cấu hình môi trường huấn luyện.
- Chuẩn bị huấn luyện và kiểm thử mô hình.
- Huấn luyện mô hình với dữ liệu tiếng Việt.
- Kiểm thử mô hình với nhiều mẫu giọng khác nhau.")</f>
        <v>- Tìm hiểu khái niệm và nguyên lý của Voice Cloning.
- Xác định mục tiêu, phạm vi và yêu cầu của đề tài.
- Tìm kiếm, lựa chọn Dataset và Model phù hợp.
- Tìm hiểu cấu trúc mô hình và quy trình huấn luyện.
- Phân tích và tiến hành tiền xử lý dữ liệu của Dataset.
- Cấu hình môi trường huấn luyện.
- Chuẩn bị huấn luyện và kiểm thử mô hình.
- Huấn luyện mô hình với dữ liệu tiếng Việt.
- Kiểm thử mô hình với nhiều mẫu giọng khác nhau.</v>
      </c>
      <c r="M94" s="9"/>
      <c r="N94" s="9"/>
      <c r="O94" s="9"/>
      <c r="P94" s="9"/>
      <c r="Q94" s="9" t="str">
        <f>IFERROR(__xludf.DUMMYFUNCTION("""COMPUTED_VALUE"""),"TNDHLTK22_202610515")</f>
        <v>TNDHLTK22_202610515</v>
      </c>
    </row>
    <row r="95">
      <c r="A95" s="10">
        <f>IFERROR(__xludf.DUMMYFUNCTION("""COMPUTED_VALUE"""),46020.72644628472)</f>
        <v>46020.72645</v>
      </c>
      <c r="B95" s="9" t="str">
        <f>IFERROR(__xludf.DUMMYFUNCTION("""COMPUTED_VALUE"""),"nusladykillah@gmail.com")</f>
        <v>nusladykillah@gmail.com</v>
      </c>
      <c r="C95" s="9">
        <f>IFERROR(__xludf.DUMMYFUNCTION("""COMPUTED_VALUE"""),1.22001254E8)</f>
        <v>122001254</v>
      </c>
      <c r="D95" s="9" t="str">
        <f>IFERROR(__xludf.DUMMYFUNCTION("""COMPUTED_VALUE"""),"Nguyễn Việt Anh")</f>
        <v>Nguyễn Việt Anh</v>
      </c>
      <c r="E95" s="9" t="str">
        <f>IFERROR(__xludf.DUMMYFUNCTION("""COMPUTED_VALUE"""),"0962129753")</f>
        <v>0962129753</v>
      </c>
      <c r="F95" s="9" t="str">
        <f>IFERROR(__xludf.DUMMYFUNCTION("""COMPUTED_VALUE"""),"22CT114")</f>
        <v>22CT114</v>
      </c>
      <c r="G95" s="9" t="str">
        <f>IFERROR(__xludf.DUMMYFUNCTION("""COMPUTED_VALUE"""),"Thực hiện đồ án tốt nghiệp")</f>
        <v>Thực hiện đồ án tốt nghiệp</v>
      </c>
      <c r="H95" s="9" t="str">
        <f>IFERROR(__xludf.DUMMYFUNCTION("""COMPUTED_VALUE"""),"Phan Mạnh Thường")</f>
        <v>Phan Mạnh Thường</v>
      </c>
      <c r="I95" s="9"/>
      <c r="J95" s="9" t="str">
        <f>IFERROR(__xludf.DUMMYFUNCTION("""COMPUTED_VALUE"""),"Tạo Giọng Nói Nhân Bản (Voice Cloning)")</f>
        <v>Tạo Giọng Nói Nhân Bản (Voice Cloning)</v>
      </c>
      <c r="K95" s="9" t="str">
        <f>IFERROR(__xludf.DUMMYFUNCTION("""COMPUTED_VALUE"""),"Nhập văn bản đầu vào, chọn file âm thanh mẫu và sinh file âm thanh có giọng nói giống người mẫu.")</f>
        <v>Nhập văn bản đầu vào, chọn file âm thanh mẫu và sinh file âm thanh có giọng nói giống người mẫu.</v>
      </c>
      <c r="L95" s="9" t="str">
        <f>IFERROR(__xludf.DUMMYFUNCTION("""COMPUTED_VALUE"""),"- Tìm hiểu khái niệm và nguyên lý của Voice Cloning.
- Xác định mục tiêu, phạm vi và yêu cầu của đề tài.
- Tìm kiếm, lựa chọn Dataset và Model phù hợp.
- Tìm hiểu cấu trúc mô hình và quy trình huấn luyện.
- Phân tích và tiến hành tiền xử lý dữ liệu của Da"&amp;"taset.
- Cấu hình môi trường huấn luyện.
- Chuẩn bị huấn luyện và kiểm thử mô hình.
- Huấn luyện mô hình với dữ liệu tiếng Việt.
- Kiểm thử mô hình với nhiều mẫu giọng khác nhau")</f>
        <v>- Tìm hiểu khái niệm và nguyên lý của Voice Cloning.
- Xác định mục tiêu, phạm vi và yêu cầu của đề tài.
- Tìm kiếm, lựa chọn Dataset và Model phù hợp.
- Tìm hiểu cấu trúc mô hình và quy trình huấn luyện.
- Phân tích và tiến hành tiền xử lý dữ liệu của Dataset.
- Cấu hình môi trường huấn luyện.
- Chuẩn bị huấn luyện và kiểm thử mô hình.
- Huấn luyện mô hình với dữ liệu tiếng Việt.
- Kiểm thử mô hình với nhiều mẫu giọng khác nhau</v>
      </c>
      <c r="M95" s="9"/>
      <c r="N95" s="9"/>
      <c r="O95" s="9"/>
      <c r="P95" s="9"/>
      <c r="Q95" s="9" t="str">
        <f>IFERROR(__xludf.DUMMYFUNCTION("""COMPUTED_VALUE"""),"TNDHLTK22_202610515")</f>
        <v>TNDHLTK22_202610515</v>
      </c>
    </row>
    <row r="96">
      <c r="A96" s="10">
        <f>IFERROR(__xludf.DUMMYFUNCTION("""COMPUTED_VALUE"""),46020.79992239583)</f>
        <v>46020.79992</v>
      </c>
      <c r="B96" s="9" t="str">
        <f>IFERROR(__xludf.DUMMYFUNCTION("""COMPUTED_VALUE"""),"chungocson12a6@gmail.com")</f>
        <v>chungocson12a6@gmail.com</v>
      </c>
      <c r="C96" s="9">
        <f>IFERROR(__xludf.DUMMYFUNCTION("""COMPUTED_VALUE"""),1.22000886E8)</f>
        <v>122000886</v>
      </c>
      <c r="D96" s="9" t="str">
        <f>IFERROR(__xludf.DUMMYFUNCTION("""COMPUTED_VALUE"""),"Chu Ngọc Sơn")</f>
        <v>Chu Ngọc Sơn</v>
      </c>
      <c r="E96" s="9" t="str">
        <f>IFERROR(__xludf.DUMMYFUNCTION("""COMPUTED_VALUE"""),"0387950281")</f>
        <v>0387950281</v>
      </c>
      <c r="F96" s="9" t="str">
        <f>IFERROR(__xludf.DUMMYFUNCTION("""COMPUTED_VALUE"""),"22CT112")</f>
        <v>22CT112</v>
      </c>
      <c r="G96" s="9" t="str">
        <f>IFERROR(__xludf.DUMMYFUNCTION("""COMPUTED_VALUE"""),"Thực hiện đồ án tốt nghiệp")</f>
        <v>Thực hiện đồ án tốt nghiệp</v>
      </c>
      <c r="H96" s="9" t="str">
        <f>IFERROR(__xludf.DUMMYFUNCTION("""COMPUTED_VALUE"""),"Hồ Ngọc Hoàng Long")</f>
        <v>Hồ Ngọc Hoàng Long</v>
      </c>
      <c r="I96" s="9"/>
      <c r="J96" s="9" t="str">
        <f>IFERROR(__xludf.DUMMYFUNCTION("""COMPUTED_VALUE"""),"Ứng Dụng AI Học Ngoại Ngữ")</f>
        <v>Ứng Dụng AI Học Ngoại Ngữ</v>
      </c>
      <c r="K96" s="9" t="str">
        <f>IFERROR(__xludf.DUMMYFUNCTION("""COMPUTED_VALUE"""),"Xây dựng nền tảng ""Ezi Languages"" hỗ trợ luyện thi tiếng Anh chuẩn VSTEP và CEFR. Ứng dụng trí tuệ nhân tạo (AI) để đánh giá năng lực đầu vào, cá nhân hóa lộ trình học và tự động chấm điểm, phản hồi tức thì cho 4 kỹ năng Nghe - Nói - Đọc - Viết. Cung cấ"&amp;"p công cụ quản lý lớp học và theo dõi tiến độ cho giáo viên.")</f>
        <v>Xây dựng nền tảng "Ezi Languages" hỗ trợ luyện thi tiếng Anh chuẩn VSTEP và CEFR. Ứng dụng trí tuệ nhân tạo (AI) để đánh giá năng lực đầu vào, cá nhân hóa lộ trình học và tự động chấm điểm, phản hồi tức thì cho 4 kỹ năng Nghe - Nói - Đọc - Viết. Cung cấp công cụ quản lý lớp học và theo dõi tiến độ cho giáo viên.</v>
      </c>
      <c r="L96" s="9" t="str">
        <f>IFERROR(__xludf.DUMMYFUNCTION("""COMPUTED_VALUE"""),"Phát triển hệ thống trên nền tảng Web sử dụng Next.js, TypeScript và Firebase tích hợp Genkit (Gemini AI). Triển khai các phân hệ chức năng: Xác thực và phân quyền người dùng; Bài kiểm tra đánh giá năng lực đầu vào; Hệ thống bài học tương tác đa cấp độ; A"&amp;"I Coach luyện kỹ năng 1-1; Diễn đàn cộng đồng; Module quản lý lớp học, quản lý bài kiểm tra (Quiz) và báo cáo thống kê.")</f>
        <v>Phát triển hệ thống trên nền tảng Web sử dụng Next.js, TypeScript và Firebase tích hợp Genkit (Gemini AI). Triển khai các phân hệ chức năng: Xác thực và phân quyền người dùng; Bài kiểm tra đánh giá năng lực đầu vào; Hệ thống bài học tương tác đa cấp độ; AI Coach luyện kỹ năng 1-1; Diễn đàn cộng đồng; Module quản lý lớp học, quản lý bài kiểm tra (Quiz) và báo cáo thống kê.</v>
      </c>
      <c r="M96" s="9"/>
      <c r="N96" s="9"/>
      <c r="O96" s="9"/>
      <c r="P96" s="9"/>
      <c r="Q96" s="9" t="str">
        <f>IFERROR(__xludf.DUMMYFUNCTION("""COMPUTED_VALUE"""),"TNDHLTK22_202610515")</f>
        <v>TNDHLTK22_202610515</v>
      </c>
    </row>
    <row r="97">
      <c r="A97" s="10">
        <f>IFERROR(__xludf.DUMMYFUNCTION("""COMPUTED_VALUE"""),46020.864592060185)</f>
        <v>46020.86459</v>
      </c>
      <c r="B97" s="9" t="str">
        <f>IFERROR(__xludf.DUMMYFUNCTION("""COMPUTED_VALUE"""),"huyvu0199@gmail.com")</f>
        <v>huyvu0199@gmail.com</v>
      </c>
      <c r="C97" s="9">
        <f>IFERROR(__xludf.DUMMYFUNCTION("""COMPUTED_VALUE"""),1.22001299E8)</f>
        <v>122001299</v>
      </c>
      <c r="D97" s="9" t="str">
        <f>IFERROR(__xludf.DUMMYFUNCTION("""COMPUTED_VALUE"""),"Vũ Văn Huy")</f>
        <v>Vũ Văn Huy</v>
      </c>
      <c r="E97" s="9" t="str">
        <f>IFERROR(__xludf.DUMMYFUNCTION("""COMPUTED_VALUE"""),"0392613582")</f>
        <v>0392613582</v>
      </c>
      <c r="F97" s="9" t="str">
        <f>IFERROR(__xludf.DUMMYFUNCTION("""COMPUTED_VALUE"""),"22CT114")</f>
        <v>22CT114</v>
      </c>
      <c r="G97" s="9" t="str">
        <f>IFERROR(__xludf.DUMMYFUNCTION("""COMPUTED_VALUE"""),"Thực hiện đồ án tốt nghiệp")</f>
        <v>Thực hiện đồ án tốt nghiệp</v>
      </c>
      <c r="H97" s="9" t="str">
        <f>IFERROR(__xludf.DUMMYFUNCTION("""COMPUTED_VALUE"""),"Hoàng Sỹ Hùng")</f>
        <v>Hoàng Sỹ Hùng</v>
      </c>
      <c r="I97" s="9" t="str">
        <f>IFERROR(__xludf.DUMMYFUNCTION("""COMPUTED_VALUE"""),"Hoàng Sỹ Hùng")</f>
        <v>Hoàng Sỹ Hùng</v>
      </c>
      <c r="J97" s="9" t="str">
        <f>IFERROR(__xludf.DUMMYFUNCTION("""COMPUTED_VALUE"""),"EventAI – Nền tảng quản lý sự kiện ứng dụng trí tuệ nhân tạo")</f>
        <v>EventAI – Nền tảng quản lý sự kiện ứng dụng trí tuệ nhân tạo</v>
      </c>
      <c r="K97" s="9" t="str">
        <f>IFERROR(__xludf.DUMMYFUNCTION("""COMPUTED_VALUE"""),"Đề tài hướng đến việc xây dựng một ứng dụng quản lý sự kiện có tích hợp trí tuệ nhân tạo, nhằm hỗ trợ việc tổ chức các hoạt động và đặc biệt là phân tích tự động các ý kiến đánh giá từ người tham dự.
Ứng dụng AI vào xử lý phản hồi: Sử dụng các thuật toán "&amp;"phân tích ngôn ngữ để hiểu được người tham gia cảm thấy hài lòng hay chưa hài lòng về sự kiện. Nhóm các ý kiến liên quan theo từng khía cạnh như chương trình, địa điểm, diễn giả để dễ đánh giá. Tạo ra các báo cáo tổng hợp kèm biểu đồ giúp ban tổ chức nắm "&amp;"bắt nhanh chất lượng sự kiện.
Thiết kế một quy trình bán vé trực tuyến hiệu quả: Xây dựng mô hình quản lý bán vé đa kênh online để tối đa hóa doanh thu và đơn giản hóa quy trình đăng ký cho người tham dự.
Đảm bảo tính bảo mật và chính xác: Phát triển các "&amp;"cơ chế mã hóa và xác thực để đảm bảo tính bảo mật của thông tin giao dịch và ngăn chặn vé giả.
Tối ưu hóa tốc độ Check-in/Check-out: Nghiên cứu và áp dụng các công nghệ nhận diện (ví dụ: QR Code, NFC) để giảm thời gian chờ đợi trung bình, đảm bảo quy trìn"&amp;"h diễn ra nhanh chóng giảm thời gian check-in trung bình xuống.
Đề tài giúp giải quyết bài toán thực tế là việc xử lý hàng trăm phản hồi sau sự kiện thường tốn nhiều thời gian và dễ bỏ sót thông tin quan trọng. Bằng cách áp dụng AI, ban tổ chức có thể nha"&amp;"nh chóng hiểu được điểm mạnh và điểm cần cải thiện, từ đó nâng cao chất lượng cho các lần tổ chức sau.")</f>
        <v>Đề tài hướng đến việc xây dựng một ứng dụng quản lý sự kiện có tích hợp trí tuệ nhân tạo, nhằm hỗ trợ việc tổ chức các hoạt động và đặc biệt là phân tích tự động các ý kiến đánh giá từ người tham dự.
Ứng dụng AI vào xử lý phản hồi: Sử dụng các thuật toán phân tích ngôn ngữ để hiểu được người tham gia cảm thấy hài lòng hay chưa hài lòng về sự kiện. Nhóm các ý kiến liên quan theo từng khía cạnh như chương trình, địa điểm, diễn giả để dễ đánh giá. Tạo ra các báo cáo tổng hợp kèm biểu đồ giúp ban tổ chức nắm bắt nhanh chất lượng sự kiện.
Thiết kế một quy trình bán vé trực tuyến hiệu quả: Xây dựng mô hình quản lý bán vé đa kênh online để tối đa hóa doanh thu và đơn giản hóa quy trình đăng ký cho người tham dự.
Đảm bảo tính bảo mật và chính xác: Phát triển các cơ chế mã hóa và xác thực để đảm bảo tính bảo mật của thông tin giao dịch và ngăn chặn vé giả.
Tối ưu hóa tốc độ Check-in/Check-out: Nghiên cứu và áp dụng các công nghệ nhận diện (ví dụ: QR Code, NFC) để giảm thời gian chờ đợi trung bình, đảm bảo quy trình diễn ra nhanh chóng giảm thời gian check-in trung bình xuống.
Đề tài giúp giải quyết bài toán thực tế là việc xử lý hàng trăm phản hồi sau sự kiện thường tốn nhiều thời gian và dễ bỏ sót thông tin quan trọng. Bằng cách áp dụng AI, ban tổ chức có thể nhanh chóng hiểu được điểm mạnh và điểm cần cải thiện, từ đó nâng cao chất lượng cho các lần tổ chức sau.</v>
      </c>
      <c r="L97" s="9" t="str">
        <f>IFERROR(__xludf.DUMMYFUNCTION("""COMPUTED_VALUE"""),"Em mong muốn xây dựng một giải pháp không chỉ đáp ứng nhu cầu hiện tại mà còn có thể mở rộng và phát triển trong tương lai, góp phần vào xu hướng ứng dụng AI vào các hoạt động quản lý và dịch vụ.
Với những lý do nêu trên, em đã quyết định chọn đề tài ""Ev"&amp;"entAI - Nền tảng quản lý sự kiện ứng dụng trí tuệ nhân tạo"" nhầm  phân tích cảm xúc người dùng làm đồ án tốt nghiệp.
Em tin rằng đây sẽ là một đóng góp ý nghĩa cho cộng đồng và là bước đệm vững chắc cho hành trình nghề nghiệp của mình.")</f>
        <v>Em mong muốn xây dựng một giải pháp không chỉ đáp ứng nhu cầu hiện tại mà còn có thể mở rộng và phát triển trong tương lai, góp phần vào xu hướng ứng dụng AI vào các hoạt động quản lý và dịch vụ.
Với những lý do nêu trên, em đã quyết định chọn đề tài "EventAI - Nền tảng quản lý sự kiện ứng dụng trí tuệ nhân tạo" nhầm  phân tích cảm xúc người dùng làm đồ án tốt nghiệp.
Em tin rằng đây sẽ là một đóng góp ý nghĩa cho cộng đồng và là bước đệm vững chắc cho hành trình nghề nghiệp của mình.</v>
      </c>
      <c r="M97" s="9"/>
      <c r="N97" s="9"/>
      <c r="O97" s="9"/>
      <c r="P97" s="9"/>
      <c r="Q97" s="9" t="str">
        <f>IFERROR(__xludf.DUMMYFUNCTION("""COMPUTED_VALUE"""),"TNDHLTK22_202610515")</f>
        <v>TNDHLTK22_202610515</v>
      </c>
    </row>
    <row r="98">
      <c r="A98" s="10">
        <f>IFERROR(__xludf.DUMMYFUNCTION("""COMPUTED_VALUE"""),46020.87647243055)</f>
        <v>46020.87647</v>
      </c>
      <c r="B98" s="9" t="str">
        <f>IFERROR(__xludf.DUMMYFUNCTION("""COMPUTED_VALUE"""),"thanhvinhntn412@gmail.com")</f>
        <v>thanhvinhntn412@gmail.com</v>
      </c>
      <c r="C98" s="9">
        <f>IFERROR(__xludf.DUMMYFUNCTION("""COMPUTED_VALUE"""),1.22001256E8)</f>
        <v>122001256</v>
      </c>
      <c r="D98" s="9" t="str">
        <f>IFERROR(__xludf.DUMMYFUNCTION("""COMPUTED_VALUE"""),"Nguyễn Thành Vinh")</f>
        <v>Nguyễn Thành Vinh</v>
      </c>
      <c r="E98" s="9" t="str">
        <f>IFERROR(__xludf.DUMMYFUNCTION("""COMPUTED_VALUE"""),"0348379672")</f>
        <v>0348379672</v>
      </c>
      <c r="F98" s="9" t="str">
        <f>IFERROR(__xludf.DUMMYFUNCTION("""COMPUTED_VALUE"""),"22EC111")</f>
        <v>22EC111</v>
      </c>
      <c r="G98" s="9" t="str">
        <f>IFERROR(__xludf.DUMMYFUNCTION("""COMPUTED_VALUE"""),"Thực hiện đồ án tốt nghiệp")</f>
        <v>Thực hiện đồ án tốt nghiệp</v>
      </c>
      <c r="H98" s="9" t="str">
        <f>IFERROR(__xludf.DUMMYFUNCTION("""COMPUTED_VALUE"""),"Bùi Thị Thu Trang")</f>
        <v>Bùi Thị Thu Trang</v>
      </c>
      <c r="I98" s="9"/>
      <c r="J98" s="9" t="str">
        <f>IFERROR(__xludf.DUMMYFUNCTION("""COMPUTED_VALUE"""),"PHÁT TRIỂN MỘT SỰ SỐNG XANH")</f>
        <v>PHÁT TRIỂN MỘT SỰ SỐNG XANH</v>
      </c>
      <c r="K98" s="9" t="str">
        <f>IFERROR(__xludf.DUMMYFUNCTION("""COMPUTED_VALUE"""),"GIẢM THIỂU Ô NHIỄM KHÔNG KHÍ ")</f>
        <v>GIẢM THIỂU Ô NHIỄM KHÔNG KHÍ </v>
      </c>
      <c r="L98" s="9" t="str">
        <f>IFERROR(__xludf.DUMMYFUNCTION("""COMPUTED_VALUE"""),"MỖI NHÀ GÓP CHÚC SỨC THAY ĐỔI THẾ GIỚI.")</f>
        <v>MỖI NHÀ GÓP CHÚC SỨC THAY ĐỔI THẾ GIỚI.</v>
      </c>
      <c r="M98" s="9"/>
      <c r="N98" s="9"/>
      <c r="O98" s="9"/>
      <c r="P98" s="9"/>
      <c r="Q98" s="9" t="str">
        <f>IFERROR(__xludf.DUMMYFUNCTION("""COMPUTED_VALUE"""),"TNDHLTK22_202610515")</f>
        <v>TNDHLTK22_202610515</v>
      </c>
    </row>
    <row r="99">
      <c r="A99" s="10">
        <f>IFERROR(__xludf.DUMMYFUNCTION("""COMPUTED_VALUE"""),46020.87784260417)</f>
        <v>46020.87784</v>
      </c>
      <c r="B99" s="9" t="str">
        <f>IFERROR(__xludf.DUMMYFUNCTION("""COMPUTED_VALUE"""),"phucnguyenduc200@gmail.com")</f>
        <v>phucnguyenduc200@gmail.com</v>
      </c>
      <c r="C99" s="9">
        <f>IFERROR(__xludf.DUMMYFUNCTION("""COMPUTED_VALUE"""),1.22001361E8)</f>
        <v>122001361</v>
      </c>
      <c r="D99" s="9" t="str">
        <f>IFERROR(__xludf.DUMMYFUNCTION("""COMPUTED_VALUE"""),"Nguyễn Đức Phúc")</f>
        <v>Nguyễn Đức Phúc</v>
      </c>
      <c r="E99" s="9" t="str">
        <f>IFERROR(__xludf.DUMMYFUNCTION("""COMPUTED_VALUE"""),"0961763318")</f>
        <v>0961763318</v>
      </c>
      <c r="F99" s="9" t="str">
        <f>IFERROR(__xludf.DUMMYFUNCTION("""COMPUTED_VALUE"""),"22ct111")</f>
        <v>22ct111</v>
      </c>
      <c r="G99" s="9" t="str">
        <f>IFERROR(__xludf.DUMMYFUNCTION("""COMPUTED_VALUE"""),"Thực hiện đồ án tốt nghiệp")</f>
        <v>Thực hiện đồ án tốt nghiệp</v>
      </c>
      <c r="H99" s="9" t="str">
        <f>IFERROR(__xludf.DUMMYFUNCTION("""COMPUTED_VALUE"""),"Nguyễn Minh Phúc")</f>
        <v>Nguyễn Minh Phúc</v>
      </c>
      <c r="I99" s="9"/>
      <c r="J99" s="9" t="str">
        <f>IFERROR(__xludf.DUMMYFUNCTION("""COMPUTED_VALUE"""),"Xây dựng module tìm bạn học dựa theo năng lực và sở thích")</f>
        <v>Xây dựng module tìm bạn học dựa theo năng lực và sở thích</v>
      </c>
      <c r="K99" s="9" t="str">
        <f>IFERROR(__xludf.DUMMYFUNCTION("""COMPUTED_VALUE"""),"Xây dựng một module (hệ thống) hỗ trợ người dùng kết nối với những người bạn học phù hợp nhất nhằm tối ưu hóa hiệu quả học tập và chia sẻ kiến thức.")</f>
        <v>Xây dựng một module (hệ thống) hỗ trợ người dùng kết nối với những người bạn học phù hợp nhất nhằm tối ưu hóa hiệu quả học tập và chia sẻ kiến thức.</v>
      </c>
      <c r="L99" s="9" t="str">
        <f>IFERROR(__xludf.DUMMYFUNCTION("""COMPUTED_VALUE"""),"Đồ án của tụi em được triển khai qua 4 giai đoạn chính gắn liền với quy trình phát triển phần mềm : 
Giai đoạn 1 : Phân tích và mô hình dữ liệu
- Xác định bộ tiêu chí : 
+ Nhóm năng lực (C) : GPA, kĩ năng lập trình, ngoại ngữ và các môn đã hoàn thành
+ Nh"&amp;"óm sở thích (I) : Thời gian học (Sáng/Tối), hình thức (Online, Offline), mục tiêu (cùng làm dự án/ cùng ôn thi)
- Vector hoá người dùng : Chuyển đổi các thông tin trên thành dạng số học
+ ví dụ : kỹ năng từ 1-5, sở thích (có=1, không=0). Mỗi sinh viên sẽ "&amp;"là một vector ""n"" chiều
u = [x1,x2,....xn]
- Giai đoạn 2 : Xây dựng backend và cấu trúc thuật toán 
Đây là phần trung tâm xử lý dữ liệu của dồ án :
- Thiết kế API : Xây dựng các Endpoint bằng Express.js để tiếp nhận thông tin từ người dùng và trả về dan"&amp;"h sách gơi ý
- Triển khai thuật toán cosin :
+ Sử dụng thư viện toán học hoặc tự định nghĩa hàm tính toán dựa trên tích vô hướng của hai vector chia cho tích độ dài của chúng 
+ Áp dụng trọng số ( Weigthing ) : Thiết lập mức độ ưu tiên ( Ví dụ : năng lực "&amp;"chiếm 70%, sở thích chiếm 30% trọng số tương đồng )
Giai đoạn 3: Phát triển Giao diện người dùng (React.js)
- Module quản lý Profile: Xây dựng form đăng ký năng lực và sở thích bằng React.js, đảm bảo dữ liệu được chuẩn hóa trước khi gửi về Server.
- Modul"&amp;"e Matching Dashboard:
+ Sử dụng Hooks (useEffect, useState) để gọi API từ Node.js.
+ Hiển thị danh sách bạn học phù hợp dưới dạng thẻ (Cards) sắp xếp theo thứ tự độ tương đồng giảm dần.
+ Tích hợp bộ lọc nhanh để người dùng thay đổi tiêu chí ngay trên gia"&amp;"o diện.
Giai đoạn 4: Kiểm thử và Đánh giá hiệu năng
- Kiểm thử thuật toán: Sử dụng bộ dữ liệu mẫu (Dummy data) khoảng 50-100 sinh viên để đánh giá tính chính xác của kết quả ghép cặp.
- Kiểm thử hệ thống: Đánh giá tốc độ phản hồi của API và tính tương thí"&amp;"ch của giao diện trên các trình duyệt khác nhau.")</f>
        <v>Đồ án của tụi em được triển khai qua 4 giai đoạn chính gắn liền với quy trình phát triển phần mềm : 
Giai đoạn 1 : Phân tích và mô hình dữ liệu
- Xác định bộ tiêu chí : 
+ Nhóm năng lực (C) : GPA, kĩ năng lập trình, ngoại ngữ và các môn đã hoàn thành
+ Nhóm sở thích (I) : Thời gian học (Sáng/Tối), hình thức (Online, Offline), mục tiêu (cùng làm dự án/ cùng ôn thi)
- Vector hoá người dùng : Chuyển đổi các thông tin trên thành dạng số học
+ ví dụ : kỹ năng từ 1-5, sở thích (có=1, không=0). Mỗi sinh viên sẽ là một vector "n" chiều
u = [x1,x2,....xn]
- Giai đoạn 2 : Xây dựng backend và cấu trúc thuật toán 
Đây là phần trung tâm xử lý dữ liệu của dồ án :
- Thiết kế API : Xây dựng các Endpoint bằng Express.js để tiếp nhận thông tin từ người dùng và trả về danh sách gơi ý
- Triển khai thuật toán cosin :
+ Sử dụng thư viện toán học hoặc tự định nghĩa hàm tính toán dựa trên tích vô hướng của hai vector chia cho tích độ dài của chúng 
+ Áp dụng trọng số ( Weigthing ) : Thiết lập mức độ ưu tiên ( Ví dụ : năng lực chiếm 70%, sở thích chiếm 30% trọng số tương đồng )
Giai đoạn 3: Phát triển Giao diện người dùng (React.js)
- Module quản lý Profile: Xây dựng form đăng ký năng lực và sở thích bằng React.js, đảm bảo dữ liệu được chuẩn hóa trước khi gửi về Server.
- Module Matching Dashboard:
+ Sử dụng Hooks (useEffect, useState) để gọi API từ Node.js.
+ Hiển thị danh sách bạn học phù hợp dưới dạng thẻ (Cards) sắp xếp theo thứ tự độ tương đồng giảm dần.
+ Tích hợp bộ lọc nhanh để người dùng thay đổi tiêu chí ngay trên giao diện.
Giai đoạn 4: Kiểm thử và Đánh giá hiệu năng
- Kiểm thử thuật toán: Sử dụng bộ dữ liệu mẫu (Dummy data) khoảng 50-100 sinh viên để đánh giá tính chính xác của kết quả ghép cặp.
- Kiểm thử hệ thống: Đánh giá tốc độ phản hồi của API và tính tương thích của giao diện trên các trình duyệt khác nhau.</v>
      </c>
      <c r="M99" s="9"/>
      <c r="N99" s="9"/>
      <c r="O99" s="9"/>
      <c r="P99" s="9"/>
      <c r="Q99" s="9" t="str">
        <f>IFERROR(__xludf.DUMMYFUNCTION("""COMPUTED_VALUE"""),"TNDHLTK22_202610515")</f>
        <v>TNDHLTK22_202610515</v>
      </c>
    </row>
    <row r="100">
      <c r="A100" s="10">
        <f>IFERROR(__xludf.DUMMYFUNCTION("""COMPUTED_VALUE"""),46021.428683923616)</f>
        <v>46021.42868</v>
      </c>
      <c r="B100" s="9" t="str">
        <f>IFERROR(__xludf.DUMMYFUNCTION("""COMPUTED_VALUE"""),"bluestar.tnt01@gmail.com")</f>
        <v>bluestar.tnt01@gmail.com</v>
      </c>
      <c r="C100" s="9">
        <f>IFERROR(__xludf.DUMMYFUNCTION("""COMPUTED_VALUE"""),1.22001295E8)</f>
        <v>122001295</v>
      </c>
      <c r="D100" s="9" t="str">
        <f>IFERROR(__xludf.DUMMYFUNCTION("""COMPUTED_VALUE"""),"Đỗ Lê Thành Nhân")</f>
        <v>Đỗ Lê Thành Nhân</v>
      </c>
      <c r="E100" s="9" t="str">
        <f>IFERROR(__xludf.DUMMYFUNCTION("""COMPUTED_VALUE"""),"0774563764")</f>
        <v>0774563764</v>
      </c>
      <c r="F100" s="9" t="str">
        <f>IFERROR(__xludf.DUMMYFUNCTION("""COMPUTED_VALUE"""),"22CT113")</f>
        <v>22CT113</v>
      </c>
      <c r="G100" s="9" t="str">
        <f>IFERROR(__xludf.DUMMYFUNCTION("""COMPUTED_VALUE"""),"Đặc cách tốt nghiệp")</f>
        <v>Đặc cách tốt nghiệp</v>
      </c>
      <c r="H100" s="9"/>
      <c r="I100" s="9"/>
      <c r="J100" s="9"/>
      <c r="K100" s="9"/>
      <c r="L100" s="9"/>
      <c r="M100" s="9"/>
      <c r="N100" s="9" t="str">
        <f>IFERROR(__xludf.DUMMYFUNCTION("""COMPUTED_VALUE"""),"Giải 3 Robocon toàn quốc 2025")</f>
        <v>Giải 3 Robocon toàn quốc 2025</v>
      </c>
      <c r="O100" s="9">
        <f>IFERROR(__xludf.DUMMYFUNCTION("""COMPUTED_VALUE"""),10.0)</f>
        <v>10</v>
      </c>
      <c r="P100" s="11" t="str">
        <f>IFERROR(__xludf.DUMMYFUNCTION("""COMPUTED_VALUE"""),"https://drive.google.com/open?id=1K3Vh2dFNzE17dr8VEcjw2LjSeZiCi48j")</f>
        <v>https://drive.google.com/open?id=1K3Vh2dFNzE17dr8VEcjw2LjSeZiCi48j</v>
      </c>
      <c r="Q100" s="9" t="str">
        <f>IFERROR(__xludf.DUMMYFUNCTION("""COMPUTED_VALUE"""),"TNDHLTK22_202610515")</f>
        <v>TNDHLTK22_202610515</v>
      </c>
    </row>
    <row r="101">
      <c r="A101" s="10">
        <f>IFERROR(__xludf.DUMMYFUNCTION("""COMPUTED_VALUE"""),46021.43640934028)</f>
        <v>46021.43641</v>
      </c>
      <c r="B101" s="9" t="str">
        <f>IFERROR(__xludf.DUMMYFUNCTION("""COMPUTED_VALUE"""),"ddttvttt@gmail.com")</f>
        <v>ddttvttt@gmail.com</v>
      </c>
      <c r="C101" s="9">
        <f>IFERROR(__xludf.DUMMYFUNCTION("""COMPUTED_VALUE"""),1.22001411E8)</f>
        <v>122001411</v>
      </c>
      <c r="D101" s="9" t="str">
        <f>IFERROR(__xludf.DUMMYFUNCTION("""COMPUTED_VALUE"""),"Đỗ Đặng Thùy Trang")</f>
        <v>Đỗ Đặng Thùy Trang</v>
      </c>
      <c r="E101" s="9" t="str">
        <f>IFERROR(__xludf.DUMMYFUNCTION("""COMPUTED_VALUE"""),"0334127732")</f>
        <v>0334127732</v>
      </c>
      <c r="F101" s="9" t="str">
        <f>IFERROR(__xludf.DUMMYFUNCTION("""COMPUTED_VALUE"""),"22EC111")</f>
        <v>22EC111</v>
      </c>
      <c r="G101" s="9" t="str">
        <f>IFERROR(__xludf.DUMMYFUNCTION("""COMPUTED_VALUE"""),"Thực hiện đồ án tốt nghiệp")</f>
        <v>Thực hiện đồ án tốt nghiệp</v>
      </c>
      <c r="H101" s="9" t="str">
        <f>IFERROR(__xludf.DUMMYFUNCTION("""COMPUTED_VALUE"""),"Bùi Xuân Cảnh")</f>
        <v>Bùi Xuân Cảnh</v>
      </c>
      <c r="I101" s="9"/>
      <c r="J101" s="9" t="str">
        <f>IFERROR(__xludf.DUMMYFUNCTION("""COMPUTED_VALUE"""),"Ứng dụng thương mại điện tử trong xây dựng website và mô hình startup Hộp quà tặng cá nhân hóa")</f>
        <v>Ứng dụng thương mại điện tử trong xây dựng website và mô hình startup Hộp quà tặng cá nhân hóa</v>
      </c>
      <c r="K101" s="9" t="str">
        <f>IFERROR(__xludf.DUMMYFUNCTION("""COMPUTED_VALUE"""),"Vận dụng kiến thức về Thương mại điện tử để xây dựng một hệ thống bán hàng trực tuyến qua website và triển khai thực tế mô hình kinh doanh hộp quà tặng cá nhân hóa, từ đó đánh giá hiệu quả kinh doanh và khả năng khởi nghiệp của dự án")</f>
        <v>Vận dụng kiến thức về Thương mại điện tử để xây dựng một hệ thống bán hàng trực tuyến qua website và triển khai thực tế mô hình kinh doanh hộp quà tặng cá nhân hóa, từ đó đánh giá hiệu quả kinh doanh và khả năng khởi nghiệp của dự án</v>
      </c>
      <c r="L101" s="9" t="str">
        <f>IFERROR(__xludf.DUMMYFUNCTION("""COMPUTED_VALUE"""),"Xây dựng một website thương mại điện tử chuyên về hộp quà tặng cá nhân hóa
Thử nghiệm mô hình startup nhỏ với sản phẩm handmade, gắn với cảm xúc và dịp đặc biệt
Tạo ra giải pháp kinh doanh trực tuyến có tính ứng dụng thực tế, phù hợp với nhu cầu giới trẻ
"&amp;"Đánh giá hiệu quả mô hình qua số lượng đơn hàng, phản hồi khách hàng và khả năng mở rộng")</f>
        <v>Xây dựng một website thương mại điện tử chuyên về hộp quà tặng cá nhân hóa
Thử nghiệm mô hình startup nhỏ với sản phẩm handmade, gắn với cảm xúc và dịp đặc biệt
Tạo ra giải pháp kinh doanh trực tuyến có tính ứng dụng thực tế, phù hợp với nhu cầu giới trẻ
Đánh giá hiệu quả mô hình qua số lượng đơn hàng, phản hồi khách hàng và khả năng mở rộng</v>
      </c>
      <c r="M101" s="9"/>
      <c r="N101" s="9"/>
      <c r="O101" s="9"/>
      <c r="P101" s="9"/>
      <c r="Q101" s="9" t="str">
        <f>IFERROR(__xludf.DUMMYFUNCTION("""COMPUTED_VALUE"""),"TNDHLTK22_202610515")</f>
        <v>TNDHLTK22_202610515</v>
      </c>
    </row>
    <row r="102">
      <c r="A102" s="10">
        <f>IFERROR(__xludf.DUMMYFUNCTION("""COMPUTED_VALUE"""),46021.43653503472)</f>
        <v>46021.43654</v>
      </c>
      <c r="B102" s="9" t="str">
        <f>IFERROR(__xludf.DUMMYFUNCTION("""COMPUTED_VALUE"""),"nttha23122004@gmail.com")</f>
        <v>nttha23122004@gmail.com</v>
      </c>
      <c r="C102" s="9">
        <f>IFERROR(__xludf.DUMMYFUNCTION("""COMPUTED_VALUE"""),1.2200115E8)</f>
        <v>122001150</v>
      </c>
      <c r="D102" s="9" t="str">
        <f>IFERROR(__xludf.DUMMYFUNCTION("""COMPUTED_VALUE"""),"Nguyễn Thị Thanh Hà ")</f>
        <v>Nguyễn Thị Thanh Hà </v>
      </c>
      <c r="E102" s="9" t="str">
        <f>IFERROR(__xludf.DUMMYFUNCTION("""COMPUTED_VALUE"""),"0342194283")</f>
        <v>0342194283</v>
      </c>
      <c r="F102" s="9" t="str">
        <f>IFERROR(__xludf.DUMMYFUNCTION("""COMPUTED_VALUE"""),"22EC111")</f>
        <v>22EC111</v>
      </c>
      <c r="G102" s="9" t="str">
        <f>IFERROR(__xludf.DUMMYFUNCTION("""COMPUTED_VALUE"""),"Thực hiện đồ án tốt nghiệp")</f>
        <v>Thực hiện đồ án tốt nghiệp</v>
      </c>
      <c r="H102" s="9" t="str">
        <f>IFERROR(__xludf.DUMMYFUNCTION("""COMPUTED_VALUE"""),"Bùi Xuân Cảnh")</f>
        <v>Bùi Xuân Cảnh</v>
      </c>
      <c r="I102" s="9"/>
      <c r="J102" s="9" t="str">
        <f>IFERROR(__xludf.DUMMYFUNCTION("""COMPUTED_VALUE"""),"Ứng dụng thương mại điện tử trong xây dựng website và mô hình startup Hộp quà tặng cá nhân hóa")</f>
        <v>Ứng dụng thương mại điện tử trong xây dựng website và mô hình startup Hộp quà tặng cá nhân hóa</v>
      </c>
      <c r="K102" s="9" t="str">
        <f>IFERROR(__xludf.DUMMYFUNCTION("""COMPUTED_VALUE"""),"Vận dụng các kiến thức về Thương mại điện tử để xây dựng một hệ thống bán hàng Website trực tuyến hoàn chỉnh và triển khai thực tế mô hình kinh doanh hộp quà tặng cá nhân hóa, từ đó đánh giá hiệu quả kinh doanh và khả năng khởi nghiệp của dự án.")</f>
        <v>Vận dụng các kiến thức về Thương mại điện tử để xây dựng một hệ thống bán hàng Website trực tuyến hoàn chỉnh và triển khai thực tế mô hình kinh doanh hộp quà tặng cá nhân hóa, từ đó đánh giá hiệu quả kinh doanh và khả năng khởi nghiệp của dự án.</v>
      </c>
      <c r="L102" s="9" t="str">
        <f>IFERROR(__xludf.DUMMYFUNCTION("""COMPUTED_VALUE"""),"Xây dựng một website thương mại điện tử chuyên về hộp quà tặng cá nhân hóa.
Thử nghiệm mô hình startup nhỏ với sản phẩm handmade, gắn với cảm xúc và dịp đặc biệt.
Tạo ra giải pháp kinh doanh trực tuyến có tính ứng dụng thực tế, phù hợp với nhu cầu giới tr"&amp;"ẻ.
Đánh giá hiệu quả mô hình qua số lượng đơn hàng, phản hồi khách hàng và khả năng mở rộng.")</f>
        <v>Xây dựng một website thương mại điện tử chuyên về hộp quà tặng cá nhân hóa.
Thử nghiệm mô hình startup nhỏ với sản phẩm handmade, gắn với cảm xúc và dịp đặc biệt.
Tạo ra giải pháp kinh doanh trực tuyến có tính ứng dụng thực tế, phù hợp với nhu cầu giới trẻ.
Đánh giá hiệu quả mô hình qua số lượng đơn hàng, phản hồi khách hàng và khả năng mở rộng.</v>
      </c>
      <c r="M102" s="9"/>
      <c r="N102" s="9"/>
      <c r="O102" s="9"/>
      <c r="P102" s="9"/>
      <c r="Q102" s="9" t="str">
        <f>IFERROR(__xludf.DUMMYFUNCTION("""COMPUTED_VALUE"""),"TNDHLTK22_202610515")</f>
        <v>TNDHLTK22_202610515</v>
      </c>
    </row>
    <row r="103">
      <c r="A103" s="10">
        <f>IFERROR(__xludf.DUMMYFUNCTION("""COMPUTED_VALUE"""),46021.57636083334)</f>
        <v>46021.57636</v>
      </c>
      <c r="B103" s="9" t="str">
        <f>IFERROR(__xludf.DUMMYFUNCTION("""COMPUTED_VALUE"""),"12c2nguyenanhluan@gmail.com")</f>
        <v>12c2nguyenanhluan@gmail.com</v>
      </c>
      <c r="C103" s="9">
        <f>IFERROR(__xludf.DUMMYFUNCTION("""COMPUTED_VALUE"""),1.22001316E8)</f>
        <v>122001316</v>
      </c>
      <c r="D103" s="9" t="str">
        <f>IFERROR(__xludf.DUMMYFUNCTION("""COMPUTED_VALUE"""),"Nguyễn Anh Luân")</f>
        <v>Nguyễn Anh Luân</v>
      </c>
      <c r="E103" s="9" t="str">
        <f>IFERROR(__xludf.DUMMYFUNCTION("""COMPUTED_VALUE"""),"0869611721")</f>
        <v>0869611721</v>
      </c>
      <c r="F103" s="9" t="str">
        <f>IFERROR(__xludf.DUMMYFUNCTION("""COMPUTED_VALUE"""),"22CT122")</f>
        <v>22CT122</v>
      </c>
      <c r="G103" s="9" t="str">
        <f>IFERROR(__xludf.DUMMYFUNCTION("""COMPUTED_VALUE"""),"Thực hiện đồ án tốt nghiệp")</f>
        <v>Thực hiện đồ án tốt nghiệp</v>
      </c>
      <c r="H103" s="9" t="str">
        <f>IFERROR(__xludf.DUMMYFUNCTION("""COMPUTED_VALUE"""),"Nguyễn Minh Phúc")</f>
        <v>Nguyễn Minh Phúc</v>
      </c>
      <c r="I103" s="9"/>
      <c r="J103" s="9" t="str">
        <f>IFERROR(__xludf.DUMMYFUNCTION("""COMPUTED_VALUE"""),"Xây dựng mô hình phân tích và đánh giá kỹ năng mềm của sinh viên dựa trên dữ liệu học tập và hoạt động nhóm")</f>
        <v>Xây dựng mô hình phân tích và đánh giá kỹ năng mềm của sinh viên dựa trên dữ liệu học tập và hoạt động nhóm</v>
      </c>
      <c r="K103" s="9" t="str">
        <f>IFERROR(__xludf.DUMMYFUNCTION("""COMPUTED_VALUE"""),"Em mong muốn phát triển sâu hơn về đề tài này")</f>
        <v>Em mong muốn phát triển sâu hơn về đề tài này</v>
      </c>
      <c r="L103" s="9" t="str">
        <f>IFERROR(__xludf.DUMMYFUNCTION("""COMPUTED_VALUE"""),"Đang thực hiện")</f>
        <v>Đang thực hiện</v>
      </c>
      <c r="M103" s="9"/>
      <c r="N103" s="9"/>
      <c r="O103" s="9"/>
      <c r="P103" s="9"/>
      <c r="Q103" s="9" t="str">
        <f>IFERROR(__xludf.DUMMYFUNCTION("""COMPUTED_VALUE"""),"TNDHLTK22_202610515")</f>
        <v>TNDHLTK22_202610515</v>
      </c>
    </row>
    <row r="104">
      <c r="A104" s="10">
        <f>IFERROR(__xludf.DUMMYFUNCTION("""COMPUTED_VALUE"""),46021.592443483794)</f>
        <v>46021.59244</v>
      </c>
      <c r="B104" s="9" t="str">
        <f>IFERROR(__xludf.DUMMYFUNCTION("""COMPUTED_VALUE"""),"bushal12345678912@gmail.com")</f>
        <v>bushal12345678912@gmail.com</v>
      </c>
      <c r="C104" s="9">
        <f>IFERROR(__xludf.DUMMYFUNCTION("""COMPUTED_VALUE"""),1.2200026E8)</f>
        <v>122000260</v>
      </c>
      <c r="D104" s="9" t="str">
        <f>IFERROR(__xludf.DUMMYFUNCTION("""COMPUTED_VALUE"""),"Nguyễn Vũ Minh Triết")</f>
        <v>Nguyễn Vũ Minh Triết</v>
      </c>
      <c r="E104" s="9" t="str">
        <f>IFERROR(__xludf.DUMMYFUNCTION("""COMPUTED_VALUE"""),"0989447164")</f>
        <v>0989447164</v>
      </c>
      <c r="F104" s="9" t="str">
        <f>IFERROR(__xludf.DUMMYFUNCTION("""COMPUTED_VALUE"""),"22EC111")</f>
        <v>22EC111</v>
      </c>
      <c r="G104" s="9" t="str">
        <f>IFERROR(__xludf.DUMMYFUNCTION("""COMPUTED_VALUE"""),"Thực hiện đồ án tốt nghiệp")</f>
        <v>Thực hiện đồ án tốt nghiệp</v>
      </c>
      <c r="H104" s="9" t="str">
        <f>IFERROR(__xludf.DUMMYFUNCTION("""COMPUTED_VALUE"""),"Trần Thị Diệu Hiền")</f>
        <v>Trần Thị Diệu Hiền</v>
      </c>
      <c r="I104" s="9" t="str">
        <f>IFERROR(__xludf.DUMMYFUNCTION("""COMPUTED_VALUE"""),"Trần Thị Diệu Hiền")</f>
        <v>Trần Thị Diệu Hiền</v>
      </c>
      <c r="J104" s="9" t="str">
        <f>IFERROR(__xludf.DUMMYFUNCTION("""COMPUTED_VALUE"""),"Xây dựng và triển khai hệ thống sàn thương mại điện tử đa nhà bán cho thuê nhà trọ sinh viên tại khu vực Bửu Long – Biên Hoà ( website/app).")</f>
        <v>Xây dựng và triển khai hệ thống sàn thương mại điện tử đa nhà bán cho thuê nhà trọ sinh viên tại khu vực Bửu Long – Biên Hoà ( website/app).</v>
      </c>
      <c r="K104" s="9" t="str">
        <f>IFERROR(__xludf.DUMMYFUNCTION("""COMPUTED_VALUE"""),"Mục tiêu chung
 • Xây dựng hệ thống website sàn TMĐT đa nhà bán phục vụ nhu cầu thuê nhà trọ sinh viên.
Mục tiêu cụ thể
 • Phân tích nhu cầu thuê trọ sinh viên khu Bửu Long.
 • Thiết kế hệ thống website cho phép chủ trọ đăng tin.
 • Tổ chức vận hành sàn "&amp;"thuê trọ.
 • Đánh giá hiệu quả hoạt động sàn.")</f>
        <v>Mục tiêu chung
 • Xây dựng hệ thống website sàn TMĐT đa nhà bán phục vụ nhu cầu thuê nhà trọ sinh viên.
Mục tiêu cụ thể
 • Phân tích nhu cầu thuê trọ sinh viên khu Bửu Long.
 • Thiết kế hệ thống website cho phép chủ trọ đăng tin.
 • Tổ chức vận hành sàn thuê trọ.
 • Đánh giá hiệu quả hoạt động sàn.</v>
      </c>
      <c r="L104" s="9" t="str">
        <f>IFERROR(__xludf.DUMMYFUNCTION("""COMPUTED_VALUE"""),"1.	Nghiên cứu cơ sở lý luận về thương mại điện tử và mô hình sàn TMĐT đa nhà bán
a.	Tổng quan về thương mại điện tử.
b.	Khái niệm và đặc điểm của sàn TMĐT đa nhà bán.
c.	Vai trò của website trong hoạt động trung gian cho thuê nhà trọ.
2.	Khảo sát nhu cầu "&amp;"thuê nhà trọ của sinh viên và thực trạng các nền tảng cho thuê hiện nay
a.	Nhu cầu tìm kiếm nhà trọ của sinh viên khu vực Bửu Long – Biên Hòa.
b.	Đánh giá ưu, nhược điểm của một số nền tảng cho thuê nhà trọ hiện có.
3.	Phân tích yêu cầu và thiết kế hệ thố"&amp;"ng sàn TMĐT cho thuê nhà trọ sinh viên
a.	Phân tích yêu cầu chức năng và phi chức năng của hệ thống.
b.	Thiết kế kiến trúc tổng thể và các phân hệ chính của website.
4.	Xây dựng và triển khai website sàn TMĐT đa nhà bán cho thuê nhà trọ
a.	Xây dựng giao d"&amp;"iện và các chức năng cơ bản của website.
b.	Thiết lập cơ sở dữ liệu và quản lý thông tin người dùng, phòng trọ.
5.	Tổ chức vận hành và quản lý hoạt động của sàn TMĐT
a.	Quy trình đăng tin, kiểm duyệt và hiển thị phòng trọ.
b.	Cơ chế quản lý chủ trọ và ngư"&amp;"ời thuê.
6.	Đánh giá hiệu quả hoạt động và đề xuất giải pháp hoàn thiện hệ thống
a.	Đánh giá hiệu quả dựa trên các chỉ số hoạt động của hệ thống.
b.	Đề xuất giải pháp cải tiến nhằm nâng cao hiệu quả vận hành và trải nghiệm người dùng.
")</f>
        <v>1.	Nghiên cứu cơ sở lý luận về thương mại điện tử và mô hình sàn TMĐT đa nhà bán
a.	Tổng quan về thương mại điện tử.
b.	Khái niệm và đặc điểm của sàn TMĐT đa nhà bán.
c.	Vai trò của website trong hoạt động trung gian cho thuê nhà trọ.
2.	Khảo sát nhu cầu thuê nhà trọ của sinh viên và thực trạng các nền tảng cho thuê hiện nay
a.	Nhu cầu tìm kiếm nhà trọ của sinh viên khu vực Bửu Long – Biên Hòa.
b.	Đánh giá ưu, nhược điểm của một số nền tảng cho thuê nhà trọ hiện có.
3.	Phân tích yêu cầu và thiết kế hệ thống sàn TMĐT cho thuê nhà trọ sinh viên
a.	Phân tích yêu cầu chức năng và phi chức năng của hệ thống.
b.	Thiết kế kiến trúc tổng thể và các phân hệ chính của website.
4.	Xây dựng và triển khai website sàn TMĐT đa nhà bán cho thuê nhà trọ
a.	Xây dựng giao diện và các chức năng cơ bản của website.
b.	Thiết lập cơ sở dữ liệu và quản lý thông tin người dùng, phòng trọ.
5.	Tổ chức vận hành và quản lý hoạt động của sàn TMĐT
a.	Quy trình đăng tin, kiểm duyệt và hiển thị phòng trọ.
b.	Cơ chế quản lý chủ trọ và người thuê.
6.	Đánh giá hiệu quả hoạt động và đề xuất giải pháp hoàn thiện hệ thống
a.	Đánh giá hiệu quả dựa trên các chỉ số hoạt động của hệ thống.
b.	Đề xuất giải pháp cải tiến nhằm nâng cao hiệu quả vận hành và trải nghiệm người dùng.
</v>
      </c>
      <c r="M104" s="9" t="str">
        <f>IFERROR(__xludf.DUMMYFUNCTION("""COMPUTED_VALUE"""),"Thực hiện cùng Nguyễn Minh Thuận 22EC111. ")</f>
        <v>Thực hiện cùng Nguyễn Minh Thuận 22EC111. </v>
      </c>
      <c r="N104" s="9"/>
      <c r="O104" s="9"/>
      <c r="P104" s="9"/>
      <c r="Q104" s="9" t="str">
        <f>IFERROR(__xludf.DUMMYFUNCTION("""COMPUTED_VALUE"""),"TNDHLTK22_202610515")</f>
        <v>TNDHLTK22_202610515</v>
      </c>
    </row>
    <row r="105">
      <c r="A105" s="10">
        <f>IFERROR(__xludf.DUMMYFUNCTION("""COMPUTED_VALUE"""),46021.60826702546)</f>
        <v>46021.60827</v>
      </c>
      <c r="B105" s="9" t="str">
        <f>IFERROR(__xludf.DUMMYFUNCTION("""COMPUTED_VALUE"""),"kien0027laai@gmail.com")</f>
        <v>kien0027laai@gmail.com</v>
      </c>
      <c r="C105" s="9">
        <f>IFERROR(__xludf.DUMMYFUNCTION("""COMPUTED_VALUE"""),1.22000284E8)</f>
        <v>122000284</v>
      </c>
      <c r="D105" s="9" t="str">
        <f>IFERROR(__xludf.DUMMYFUNCTION("""COMPUTED_VALUE"""),"Phạm Duy Kiên")</f>
        <v>Phạm Duy Kiên</v>
      </c>
      <c r="E105" s="9" t="str">
        <f>IFERROR(__xludf.DUMMYFUNCTION("""COMPUTED_VALUE"""),"0339746902")</f>
        <v>0339746902</v>
      </c>
      <c r="F105" s="9" t="str">
        <f>IFERROR(__xludf.DUMMYFUNCTION("""COMPUTED_VALUE"""),"22EC111")</f>
        <v>22EC111</v>
      </c>
      <c r="G105" s="9" t="str">
        <f>IFERROR(__xludf.DUMMYFUNCTION("""COMPUTED_VALUE"""),"Thực hiện đồ án tốt nghiệp")</f>
        <v>Thực hiện đồ án tốt nghiệp</v>
      </c>
      <c r="H105" s="9" t="str">
        <f>IFERROR(__xludf.DUMMYFUNCTION("""COMPUTED_VALUE"""),"Trần Thị Diệu Hiền")</f>
        <v>Trần Thị Diệu Hiền</v>
      </c>
      <c r="I105" s="9" t="str">
        <f>IFERROR(__xludf.DUMMYFUNCTION("""COMPUTED_VALUE"""),"Trần Thị Diệu Hiền")</f>
        <v>Trần Thị Diệu Hiền</v>
      </c>
      <c r="J105" s="9" t="str">
        <f>IFERROR(__xludf.DUMMYFUNCTION("""COMPUTED_VALUE"""),"Xây dựng website kinh doanh văn phòng phẩm trực tuyến")</f>
        <v>Xây dựng website kinh doanh văn phòng phẩm trực tuyến</v>
      </c>
      <c r="K105" s="9" t="str">
        <f>IFERROR(__xludf.DUMMYFUNCTION("""COMPUTED_VALUE"""),"Xây dựng website bán văn phòng phẩm trực tuyến, thuận tiện cho người dùng và dễ quản lý cho cửa hàng.")</f>
        <v>Xây dựng website bán văn phòng phẩm trực tuyến, thuận tiện cho người dùng và dễ quản lý cho cửa hàng.</v>
      </c>
      <c r="L105" s="9" t="str">
        <f>IFERROR(__xludf.DUMMYFUNCTION("""COMPUTED_VALUE"""),"Thiết kế và xây dựng website bán văn phòng phẩm với các chức năng xem sản phẩm, đặt hàng và quản lý đơn hàng.")</f>
        <v>Thiết kế và xây dựng website bán văn phòng phẩm với các chức năng xem sản phẩm, đặt hàng và quản lý đơn hàng.</v>
      </c>
      <c r="M105" s="9"/>
      <c r="N105" s="9"/>
      <c r="O105" s="9"/>
      <c r="P105" s="9"/>
      <c r="Q105" s="9" t="str">
        <f>IFERROR(__xludf.DUMMYFUNCTION("""COMPUTED_VALUE"""),"TNDHLTK22_202610515")</f>
        <v>TNDHLTK22_202610515</v>
      </c>
    </row>
    <row r="106">
      <c r="A106" s="10">
        <f>IFERROR(__xludf.DUMMYFUNCTION("""COMPUTED_VALUE"""),46021.6260624537)</f>
        <v>46021.62606</v>
      </c>
      <c r="B106" s="9" t="str">
        <f>IFERROR(__xludf.DUMMYFUNCTION("""COMPUTED_VALUE"""),"vh412843@gmail.com")</f>
        <v>vh412843@gmail.com</v>
      </c>
      <c r="C106" s="9">
        <f>IFERROR(__xludf.DUMMYFUNCTION("""COMPUTED_VALUE"""),1.22001257E8)</f>
        <v>122001257</v>
      </c>
      <c r="D106" s="9" t="str">
        <f>IFERROR(__xludf.DUMMYFUNCTION("""COMPUTED_VALUE"""),"Nguyễn Việt Hưng")</f>
        <v>Nguyễn Việt Hưng</v>
      </c>
      <c r="E106" s="9" t="str">
        <f>IFERROR(__xludf.DUMMYFUNCTION("""COMPUTED_VALUE"""),"0339983840")</f>
        <v>0339983840</v>
      </c>
      <c r="F106" s="9" t="str">
        <f>IFERROR(__xludf.DUMMYFUNCTION("""COMPUTED_VALUE"""),"22CT112")</f>
        <v>22CT112</v>
      </c>
      <c r="G106" s="9" t="str">
        <f>IFERROR(__xludf.DUMMYFUNCTION("""COMPUTED_VALUE"""),"Thực hiện đồ án tốt nghiệp")</f>
        <v>Thực hiện đồ án tốt nghiệp</v>
      </c>
      <c r="H106" s="9" t="str">
        <f>IFERROR(__xludf.DUMMYFUNCTION("""COMPUTED_VALUE"""),"Nguyễn Minh Phúc")</f>
        <v>Nguyễn Minh Phúc</v>
      </c>
      <c r="I106" s="9"/>
      <c r="J106" s="9" t="str">
        <f>IFERROR(__xludf.DUMMYFUNCTION("""COMPUTED_VALUE"""),"Xây dựng Dashboard quản lý tiến độ học lập trình cho Quản lý ngành")</f>
        <v>Xây dựng Dashboard quản lý tiến độ học lập trình cho Quản lý ngành</v>
      </c>
      <c r="K106" s="9" t="str">
        <f>IFERROR(__xludf.DUMMYFUNCTION("""COMPUTED_VALUE"""),"Mục tiêu của đề tài Xây dựng Dashboard quản lý tiến độ học lập trình cho Quản lý ngành là thiết kế một hệ thống trực quan giúp theo dõi, tổng hợp và đánh giá tiến độ học tập lập trình của người học theo từng giai đoạn. Dashboard hỗ trợ Quản lý ngành nắm b"&amp;"ắt nhanh tình hình học tập, phát hiện sớm các vấn đề còn hạn chế, từ đó đưa ra quyết định điều chỉnh kế hoạch, nội dung hoặc phương pháp đào tạo nhằm nâng cao hiệu quả giảng dạy và chất lượng học tập")</f>
        <v>Mục tiêu của đề tài Xây dựng Dashboard quản lý tiến độ học lập trình cho Quản lý ngành là thiết kế một hệ thống trực quan giúp theo dõi, tổng hợp và đánh giá tiến độ học tập lập trình của người học theo từng giai đoạn. Dashboard hỗ trợ Quản lý ngành nắm bắt nhanh tình hình học tập, phát hiện sớm các vấn đề còn hạn chế, từ đó đưa ra quyết định điều chỉnh kế hoạch, nội dung hoặc phương pháp đào tạo nhằm nâng cao hiệu quả giảng dạy và chất lượng học tập</v>
      </c>
      <c r="L106" s="9" t="str">
        <f>IFERROR(__xludf.DUMMYFUNCTION("""COMPUTED_VALUE"""),"Bao gồm việc khảo sát nhu cầu quản lý tiến độ học, xác định các chỉ số cần theo dõi; thu thập và xử lý dữ liệu học tập (điểm số, tiến độ bài học, mức độ hoàn thành); thiết kế và xây dựng Dashboard trực quan với các biểu đồ, bảng thống kê; và đánh giá, hoà"&amp;"n thiện hệ thống dựa trên dữ liệu mẫu nhằm đảm bảo Dashboard hỗ trợ hiệu quả cho công tác quản lý ngành")</f>
        <v>Bao gồm việc khảo sát nhu cầu quản lý tiến độ học, xác định các chỉ số cần theo dõi; thu thập và xử lý dữ liệu học tập (điểm số, tiến độ bài học, mức độ hoàn thành); thiết kế và xây dựng Dashboard trực quan với các biểu đồ, bảng thống kê; và đánh giá, hoàn thiện hệ thống dựa trên dữ liệu mẫu nhằm đảm bảo Dashboard hỗ trợ hiệu quả cho công tác quản lý ngành</v>
      </c>
      <c r="M106" s="9"/>
      <c r="N106" s="9"/>
      <c r="O106" s="9"/>
      <c r="P106" s="9"/>
      <c r="Q106" s="9" t="str">
        <f>IFERROR(__xludf.DUMMYFUNCTION("""COMPUTED_VALUE"""),"TNDHLTK22_202610515")</f>
        <v>TNDHLTK22_202610515</v>
      </c>
    </row>
    <row r="107">
      <c r="A107" s="10">
        <f>IFERROR(__xludf.DUMMYFUNCTION("""COMPUTED_VALUE"""),46021.62861674769)</f>
        <v>46021.62862</v>
      </c>
      <c r="B107" s="9" t="str">
        <f>IFERROR(__xludf.DUMMYFUNCTION("""COMPUTED_VALUE"""),"at24052004@gmail.com")</f>
        <v>at24052004@gmail.com</v>
      </c>
      <c r="C107" s="9">
        <f>IFERROR(__xludf.DUMMYFUNCTION("""COMPUTED_VALUE"""),1.22000269E8)</f>
        <v>122000269</v>
      </c>
      <c r="D107" s="9" t="str">
        <f>IFERROR(__xludf.DUMMYFUNCTION("""COMPUTED_VALUE"""),"Trần Thế An")</f>
        <v>Trần Thế An</v>
      </c>
      <c r="E107" s="9" t="str">
        <f>IFERROR(__xludf.DUMMYFUNCTION("""COMPUTED_VALUE"""),"0355627106")</f>
        <v>0355627106</v>
      </c>
      <c r="F107" s="9" t="str">
        <f>IFERROR(__xludf.DUMMYFUNCTION("""COMPUTED_VALUE"""),"22ct114")</f>
        <v>22ct114</v>
      </c>
      <c r="G107" s="9" t="str">
        <f>IFERROR(__xludf.DUMMYFUNCTION("""COMPUTED_VALUE"""),"Thực hiện đồ án tốt nghiệp")</f>
        <v>Thực hiện đồ án tốt nghiệp</v>
      </c>
      <c r="H107" s="9" t="str">
        <f>IFERROR(__xludf.DUMMYFUNCTION("""COMPUTED_VALUE"""),"Bùi Xuân Cảnh")</f>
        <v>Bùi Xuân Cảnh</v>
      </c>
      <c r="I107" s="9"/>
      <c r="J107" s="9" t="str">
        <f>IFERROR(__xludf.DUMMYFUNCTION("""COMPUTED_VALUE"""),"Quản lý kho")</f>
        <v>Quản lý kho</v>
      </c>
      <c r="K107" s="9" t="str">
        <f>IFERROR(__xludf.DUMMYFUNCTION("""COMPUTED_VALUE"""),"Thực hiện được tất cả các module mà các kho đang cần , hoàn thiện trơn tru")</f>
        <v>Thực hiện được tất cả các module mà các kho đang cần , hoàn thiện trơn tru</v>
      </c>
      <c r="L107" s="9" t="str">
        <f>IFERROR(__xludf.DUMMYFUNCTION("""COMPUTED_VALUE"""),"Chưa có")</f>
        <v>Chưa có</v>
      </c>
      <c r="M107" s="9"/>
      <c r="N107" s="9"/>
      <c r="O107" s="9"/>
      <c r="P107" s="9"/>
      <c r="Q107" s="9" t="str">
        <f>IFERROR(__xludf.DUMMYFUNCTION("""COMPUTED_VALUE"""),"TNDHLTK22_202610515")</f>
        <v>TNDHLTK22_202610515</v>
      </c>
    </row>
    <row r="108">
      <c r="A108" s="10">
        <f>IFERROR(__xludf.DUMMYFUNCTION("""COMPUTED_VALUE"""),46021.63988045139)</f>
        <v>46021.63988</v>
      </c>
      <c r="B108" s="9" t="str">
        <f>IFERROR(__xludf.DUMMYFUNCTION("""COMPUTED_VALUE"""),"nophuocthinh.pt@gmail.com")</f>
        <v>nophuocthinh.pt@gmail.com</v>
      </c>
      <c r="C108" s="9">
        <f>IFERROR(__xludf.DUMMYFUNCTION("""COMPUTED_VALUE"""),1.22001002E8)</f>
        <v>122001002</v>
      </c>
      <c r="D108" s="9" t="str">
        <f>IFERROR(__xludf.DUMMYFUNCTION("""COMPUTED_VALUE"""),"Nguyễn Phong Thịnh")</f>
        <v>Nguyễn Phong Thịnh</v>
      </c>
      <c r="E108" s="9" t="str">
        <f>IFERROR(__xludf.DUMMYFUNCTION("""COMPUTED_VALUE"""),"0766626061")</f>
        <v>0766626061</v>
      </c>
      <c r="F108" s="9" t="str">
        <f>IFERROR(__xludf.DUMMYFUNCTION("""COMPUTED_VALUE"""),"22CT114")</f>
        <v>22CT114</v>
      </c>
      <c r="G108" s="9" t="str">
        <f>IFERROR(__xludf.DUMMYFUNCTION("""COMPUTED_VALUE"""),"Thực hiện đồ án tốt nghiệp")</f>
        <v>Thực hiện đồ án tốt nghiệp</v>
      </c>
      <c r="H108" s="9" t="str">
        <f>IFERROR(__xludf.DUMMYFUNCTION("""COMPUTED_VALUE"""),"Phan Thiện Phước")</f>
        <v>Phan Thiện Phước</v>
      </c>
      <c r="I108" s="9"/>
      <c r="J108" s="9" t="str">
        <f>IFERROR(__xludf.DUMMYFUNCTION("""COMPUTED_VALUE"""),"Gợi ý ngoại thất cho căn nhà")</f>
        <v>Gợi ý ngoại thất cho căn nhà</v>
      </c>
      <c r="K108" s="9" t="str">
        <f>IFERROR(__xludf.DUMMYFUNCTION("""COMPUTED_VALUE"""),"tạo ảnh đã qua thiết kế cho người dùng")</f>
        <v>tạo ảnh đã qua thiết kế cho người dùng</v>
      </c>
      <c r="L108" s="9" t="str">
        <f>IFERROR(__xludf.DUMMYFUNCTION("""COMPUTED_VALUE"""),"ảnh thông qua ai sinh ra ảnh để người dùng kham thảo")</f>
        <v>ảnh thông qua ai sinh ra ảnh để người dùng kham thảo</v>
      </c>
      <c r="M108" s="9"/>
      <c r="N108" s="9"/>
      <c r="O108" s="9"/>
      <c r="P108" s="9"/>
      <c r="Q108" s="9" t="str">
        <f>IFERROR(__xludf.DUMMYFUNCTION("""COMPUTED_VALUE"""),"TNDHLTK22_202610515")</f>
        <v>TNDHLTK22_202610515</v>
      </c>
    </row>
    <row r="109">
      <c r="A109" s="10">
        <f>IFERROR(__xludf.DUMMYFUNCTION("""COMPUTED_VALUE"""),46021.645657326386)</f>
        <v>46021.64566</v>
      </c>
      <c r="B109" s="9" t="str">
        <f>IFERROR(__xludf.DUMMYFUNCTION("""COMPUTED_VALUE"""),"fugdin321@gmail.com")</f>
        <v>fugdin321@gmail.com</v>
      </c>
      <c r="C109" s="9">
        <f>IFERROR(__xludf.DUMMYFUNCTION("""COMPUTED_VALUE"""),1.22000223E8)</f>
        <v>122000223</v>
      </c>
      <c r="D109" s="9" t="str">
        <f>IFERROR(__xludf.DUMMYFUNCTION("""COMPUTED_VALUE"""),"Đinh Huỳnh Hữu Phước")</f>
        <v>Đinh Huỳnh Hữu Phước</v>
      </c>
      <c r="E109" s="9" t="str">
        <f>IFERROR(__xludf.DUMMYFUNCTION("""COMPUTED_VALUE"""),"0394049905")</f>
        <v>0394049905</v>
      </c>
      <c r="F109" s="9" t="str">
        <f>IFERROR(__xludf.DUMMYFUNCTION("""COMPUTED_VALUE"""),"22CT114")</f>
        <v>22CT114</v>
      </c>
      <c r="G109" s="9" t="str">
        <f>IFERROR(__xludf.DUMMYFUNCTION("""COMPUTED_VALUE"""),"Thực hiện đồ án tốt nghiệp")</f>
        <v>Thực hiện đồ án tốt nghiệp</v>
      </c>
      <c r="H109" s="9" t="str">
        <f>IFERROR(__xludf.DUMMYFUNCTION("""COMPUTED_VALUE"""),"Phan Thiện Phước")</f>
        <v>Phan Thiện Phước</v>
      </c>
      <c r="I109" s="9"/>
      <c r="J109" s="9" t="str">
        <f>IFERROR(__xludf.DUMMYFUNCTION("""COMPUTED_VALUE"""),"Hệ Thống gợi ý cho ngoại thất căn nhà")</f>
        <v>Hệ Thống gợi ý cho ngoại thất căn nhà</v>
      </c>
      <c r="K109" s="9" t="str">
        <f>IFERROR(__xludf.DUMMYFUNCTION("""COMPUTED_VALUE"""),"Tạo ảnh ngoại thất bằng AI")</f>
        <v>Tạo ảnh ngoại thất bằng AI</v>
      </c>
      <c r="L109" s="9" t="str">
        <f>IFERROR(__xludf.DUMMYFUNCTION("""COMPUTED_VALUE"""),"phát triển tiếp tính năng từ hệ thống môn PTUD")</f>
        <v>phát triển tiếp tính năng từ hệ thống môn PTUD</v>
      </c>
      <c r="M109" s="9"/>
      <c r="N109" s="9"/>
      <c r="O109" s="9"/>
      <c r="P109" s="9"/>
      <c r="Q109" s="9" t="str">
        <f>IFERROR(__xludf.DUMMYFUNCTION("""COMPUTED_VALUE"""),"TNDHLTK22_202610515")</f>
        <v>TNDHLTK22_202610515</v>
      </c>
    </row>
    <row r="110">
      <c r="A110" s="10">
        <f>IFERROR(__xludf.DUMMYFUNCTION("""COMPUTED_VALUE"""),46021.84258055556)</f>
        <v>46021.84258</v>
      </c>
      <c r="B110" s="9" t="str">
        <f>IFERROR(__xludf.DUMMYFUNCTION("""COMPUTED_VALUE"""),"tuan01219072346@gmail.com")</f>
        <v>tuan01219072346@gmail.com</v>
      </c>
      <c r="C110" s="9">
        <f>IFERROR(__xludf.DUMMYFUNCTION("""COMPUTED_VALUE"""),1.2200046E8)</f>
        <v>122000460</v>
      </c>
      <c r="D110" s="9" t="str">
        <f>IFERROR(__xludf.DUMMYFUNCTION("""COMPUTED_VALUE"""),"Trần Văn Bình")</f>
        <v>Trần Văn Bình</v>
      </c>
      <c r="E110" s="9" t="str">
        <f>IFERROR(__xludf.DUMMYFUNCTION("""COMPUTED_VALUE"""),"0334914712")</f>
        <v>0334914712</v>
      </c>
      <c r="F110" s="9" t="str">
        <f>IFERROR(__xludf.DUMMYFUNCTION("""COMPUTED_VALUE"""),"22CT114")</f>
        <v>22CT114</v>
      </c>
      <c r="G110" s="9" t="str">
        <f>IFERROR(__xludf.DUMMYFUNCTION("""COMPUTED_VALUE"""),"Thực hiện đồ án tốt nghiệp")</f>
        <v>Thực hiện đồ án tốt nghiệp</v>
      </c>
      <c r="H110" s="9" t="str">
        <f>IFERROR(__xludf.DUMMYFUNCTION("""COMPUTED_VALUE"""),"Bùi Xuân Cảnh")</f>
        <v>Bùi Xuân Cảnh</v>
      </c>
      <c r="I110" s="9"/>
      <c r="J110" s="9" t="str">
        <f>IFERROR(__xludf.DUMMYFUNCTION("""COMPUTED_VALUE"""),"Ứng Dụng Kết Nối Người Bán Hàng Nhỏ Lẻ")</f>
        <v>Ứng Dụng Kết Nối Người Bán Hàng Nhỏ Lẻ</v>
      </c>
      <c r="K110" s="9" t="str">
        <f>IFERROR(__xludf.DUMMYFUNCTION("""COMPUTED_VALUE"""),"Hoàn thiện web ")</f>
        <v>Hoàn thiện web </v>
      </c>
      <c r="L110" s="9" t="str">
        <f>IFERROR(__xludf.DUMMYFUNCTION("""COMPUTED_VALUE"""),"Phát triển tiếp web")</f>
        <v>Phát triển tiếp web</v>
      </c>
      <c r="M110" s="9"/>
      <c r="N110" s="9"/>
      <c r="O110" s="9"/>
      <c r="P110" s="9"/>
      <c r="Q110" s="9" t="str">
        <f>IFERROR(__xludf.DUMMYFUNCTION("""COMPUTED_VALUE"""),"TNDHLTK22_202610515")</f>
        <v>TNDHLTK22_202610515</v>
      </c>
    </row>
    <row r="111">
      <c r="A111" s="10">
        <f>IFERROR(__xludf.DUMMYFUNCTION("""COMPUTED_VALUE"""),46022.441952546294)</f>
        <v>46022.44195</v>
      </c>
      <c r="B111" s="9" t="str">
        <f>IFERROR(__xludf.DUMMYFUNCTION("""COMPUTED_VALUE"""),"khaibetatc@gmail.com")</f>
        <v>khaibetatc@gmail.com</v>
      </c>
      <c r="C111" s="9">
        <f>IFERROR(__xludf.DUMMYFUNCTION("""COMPUTED_VALUE"""),1.22000232E8)</f>
        <v>122000232</v>
      </c>
      <c r="D111" s="9" t="str">
        <f>IFERROR(__xludf.DUMMYFUNCTION("""COMPUTED_VALUE"""),"Hà Vũ Khải")</f>
        <v>Hà Vũ Khải</v>
      </c>
      <c r="E111" s="9" t="str">
        <f>IFERROR(__xludf.DUMMYFUNCTION("""COMPUTED_VALUE"""),"0356813741")</f>
        <v>0356813741</v>
      </c>
      <c r="F111" s="9" t="str">
        <f>IFERROR(__xludf.DUMMYFUNCTION("""COMPUTED_VALUE"""),"22CT111")</f>
        <v>22CT111</v>
      </c>
      <c r="G111" s="9" t="str">
        <f>IFERROR(__xludf.DUMMYFUNCTION("""COMPUTED_VALUE"""),"Thực hiện đồ án tốt nghiệp")</f>
        <v>Thực hiện đồ án tốt nghiệp</v>
      </c>
      <c r="H111" s="9" t="str">
        <f>IFERROR(__xludf.DUMMYFUNCTION("""COMPUTED_VALUE"""),"Nguyễn Minh Phúc")</f>
        <v>Nguyễn Minh Phúc</v>
      </c>
      <c r="I111" s="9"/>
      <c r="J111" s="9" t="str">
        <f>IFERROR(__xludf.DUMMYFUNCTION("""COMPUTED_VALUE""")," Xây dựng module tHệ thống gợi ý bài tập cá nhân hóa trong LMS.")</f>
        <v> Xây dựng module tHệ thống gợi ý bài tập cá nhân hóa trong LMS.</v>
      </c>
      <c r="K111" s="9" t="str">
        <f>IFERROR(__xludf.DUMMYFUNCTION("""COMPUTED_VALUE"""),"Xây dựng module tích hợp cho LMS có khả năng kết nối hệ thống gợi ý bài tập cá nhân hóa thông qua API trung gian.
")</f>
        <v>Xây dựng module tích hợp cho LMS có khả năng kết nối hệ thống gợi ý bài tập cá nhân hóa thông qua API trung gian.
</v>
      </c>
      <c r="L111" s="9" t="str">
        <f>IFERROR(__xludf.DUMMYFUNCTION("""COMPUTED_VALUE"""),"Tạo cơ chế tự động cập nhật và hiển thị gợi ý trực tiếp trong LMS, giúp cải thiện hiệu quả và trải nghiệm học tập.
Hoàn thiện module gợi ý bài tập cá nhân hóa hoạt động ổn định trong LMS Moodle.
Hệ thống có khả năng phản hồi nhanh, độ chính xác cao.
")</f>
        <v>Tạo cơ chế tự động cập nhật và hiển thị gợi ý trực tiếp trong LMS, giúp cải thiện hiệu quả và trải nghiệm học tập.
Hoàn thiện module gợi ý bài tập cá nhân hóa hoạt động ổn định trong LMS Moodle.
Hệ thống có khả năng phản hồi nhanh, độ chính xác cao.
</v>
      </c>
      <c r="M111" s="9" t="str">
        <f>IFERROR(__xludf.DUMMYFUNCTION("""COMPUTED_VALUE"""),"Mở rộng kết nối với các hệ thống học tập hoặc mô hình AI khác trong tương lai.")</f>
        <v>Mở rộng kết nối với các hệ thống học tập hoặc mô hình AI khác trong tương lai.</v>
      </c>
      <c r="N111" s="9"/>
      <c r="O111" s="9"/>
      <c r="P111" s="9"/>
      <c r="Q111" s="9" t="str">
        <f>IFERROR(__xludf.DUMMYFUNCTION("""COMPUTED_VALUE"""),"TNDHLTK22_202610515")</f>
        <v>TNDHLTK22_202610515</v>
      </c>
    </row>
    <row r="112">
      <c r="A112" s="10">
        <f>IFERROR(__xludf.DUMMYFUNCTION("""COMPUTED_VALUE"""),46022.44282091435)</f>
        <v>46022.44282</v>
      </c>
      <c r="B112" s="9" t="str">
        <f>IFERROR(__xludf.DUMMYFUNCTION("""COMPUTED_VALUE"""),"leeanhkhooi2004@gmail.com")</f>
        <v>leeanhkhooi2004@gmail.com</v>
      </c>
      <c r="C112" s="9">
        <f>IFERROR(__xludf.DUMMYFUNCTION("""COMPUTED_VALUE"""),1.22000248E8)</f>
        <v>122000248</v>
      </c>
      <c r="D112" s="9" t="str">
        <f>IFERROR(__xludf.DUMMYFUNCTION("""COMPUTED_VALUE"""),"Lê Anh Khôi")</f>
        <v>Lê Anh Khôi</v>
      </c>
      <c r="E112" s="9" t="str">
        <f>IFERROR(__xludf.DUMMYFUNCTION("""COMPUTED_VALUE"""),"0764077358")</f>
        <v>0764077358</v>
      </c>
      <c r="F112" s="9" t="str">
        <f>IFERROR(__xludf.DUMMYFUNCTION("""COMPUTED_VALUE"""),"22CT111")</f>
        <v>22CT111</v>
      </c>
      <c r="G112" s="9" t="str">
        <f>IFERROR(__xludf.DUMMYFUNCTION("""COMPUTED_VALUE"""),"Thực hiện đồ án tốt nghiệp")</f>
        <v>Thực hiện đồ án tốt nghiệp</v>
      </c>
      <c r="H112" s="9" t="str">
        <f>IFERROR(__xludf.DUMMYFUNCTION("""COMPUTED_VALUE"""),"Nguyễn Minh Phúc")</f>
        <v>Nguyễn Minh Phúc</v>
      </c>
      <c r="I112" s="9"/>
      <c r="J112" s="9" t="str">
        <f>IFERROR(__xludf.DUMMYFUNCTION("""COMPUTED_VALUE"""),"XÂY DỰNG MODULE TÍCH HỢP HỆ THỐNG GỢI Ý BÀI TẬP CÁ NHÂN HÓA TRONG LMS")</f>
        <v>XÂY DỰNG MODULE TÍCH HỢP HỆ THỐNG GỢI Ý BÀI TẬP CÁ NHÂN HÓA TRONG LMS</v>
      </c>
      <c r="K112" s="9" t="str">
        <f>IFERROR(__xludf.DUMMYFUNCTION("""COMPUTED_VALUE"""),"Xây dựng module tích hợp cho LMS có khả năng kết nối hệ thống gợi ý bài tập cá nhân hóa thông qua API trung gian.")</f>
        <v>Xây dựng module tích hợp cho LMS có khả năng kết nối hệ thống gợi ý bài tập cá nhân hóa thông qua API trung gian.</v>
      </c>
      <c r="L112" s="9" t="str">
        <f>IFERROR(__xludf.DUMMYFUNCTION("""COMPUTED_VALUE"""),"Tạo cơ chế tự động cập nhật và hiển thị gợi ý trực tiếp trong LMS, giúp cải thiện hiệu quả và trải nghiệm học tập.
Hoàn thiện module gợi ý bài tập cá nhân hóa hoạt động ổn định trong LMS Moodle.
Hệ thống có khả năng phản hồi nhanh, độ chính xác cao.")</f>
        <v>Tạo cơ chế tự động cập nhật và hiển thị gợi ý trực tiếp trong LMS, giúp cải thiện hiệu quả và trải nghiệm học tập.
Hoàn thiện module gợi ý bài tập cá nhân hóa hoạt động ổn định trong LMS Moodle.
Hệ thống có khả năng phản hồi nhanh, độ chính xác cao.</v>
      </c>
      <c r="M112" s="9" t="str">
        <f>IFERROR(__xludf.DUMMYFUNCTION("""COMPUTED_VALUE"""),"Mở rộng kết nối với các hệ thống học tập hoặc mô hình AI khác trong tương lai.")</f>
        <v>Mở rộng kết nối với các hệ thống học tập hoặc mô hình AI khác trong tương lai.</v>
      </c>
      <c r="N112" s="9"/>
      <c r="O112" s="9"/>
      <c r="P112" s="9"/>
      <c r="Q112" s="9" t="str">
        <f>IFERROR(__xludf.DUMMYFUNCTION("""COMPUTED_VALUE"""),"TNDHLTK22_202610515")</f>
        <v>TNDHLTK22_202610515</v>
      </c>
    </row>
    <row r="113">
      <c r="A113" s="10">
        <f>IFERROR(__xludf.DUMMYFUNCTION("""COMPUTED_VALUE"""),46022.48391797453)</f>
        <v>46022.48392</v>
      </c>
      <c r="B113" s="9" t="str">
        <f>IFERROR(__xludf.DUMMYFUNCTION("""COMPUTED_VALUE"""),"longkhanhhoa001@gmail.com")</f>
        <v>longkhanhhoa001@gmail.com</v>
      </c>
      <c r="C113" s="9">
        <f>IFERROR(__xludf.DUMMYFUNCTION("""COMPUTED_VALUE"""),1.22001526E8)</f>
        <v>122001526</v>
      </c>
      <c r="D113" s="9" t="str">
        <f>IFERROR(__xludf.DUMMYFUNCTION("""COMPUTED_VALUE"""),"Lồng Khánh Hòa")</f>
        <v>Lồng Khánh Hòa</v>
      </c>
      <c r="E113" s="9" t="str">
        <f>IFERROR(__xludf.DUMMYFUNCTION("""COMPUTED_VALUE"""),"0868373842")</f>
        <v>0868373842</v>
      </c>
      <c r="F113" s="9" t="str">
        <f>IFERROR(__xludf.DUMMYFUNCTION("""COMPUTED_VALUE"""),"22EC111")</f>
        <v>22EC111</v>
      </c>
      <c r="G113" s="9" t="str">
        <f>IFERROR(__xludf.DUMMYFUNCTION("""COMPUTED_VALUE"""),"Thực hiện đồ án tốt nghiệp")</f>
        <v>Thực hiện đồ án tốt nghiệp</v>
      </c>
      <c r="H113" s="9" t="str">
        <f>IFERROR(__xludf.DUMMYFUNCTION("""COMPUTED_VALUE"""),"Bùi Thị Thu Trang")</f>
        <v>Bùi Thị Thu Trang</v>
      </c>
      <c r="I113" s="9"/>
      <c r="J113" s="9" t="str">
        <f>IFERROR(__xludf.DUMMYFUNCTION("""COMPUTED_VALUE"""),"Tath Hoạt Hình")</f>
        <v>Tath Hoạt Hình</v>
      </c>
      <c r="K113" s="9" t="str">
        <f>IFERROR(__xludf.DUMMYFUNCTION("""COMPUTED_VALUE"""),"Xây dựng thương hiệu, bán hàng đa kênh")</f>
        <v>Xây dựng thương hiệu, bán hàng đa kênh</v>
      </c>
      <c r="L113" s="9" t="str">
        <f>IFERROR(__xludf.DUMMYFUNCTION("""COMPUTED_VALUE"""),"Xây dựng kênh hoạt hình")</f>
        <v>Xây dựng kênh hoạt hình</v>
      </c>
      <c r="M113" s="9"/>
      <c r="N113" s="9"/>
      <c r="O113" s="9"/>
      <c r="P113" s="9"/>
      <c r="Q113" s="9" t="str">
        <f>IFERROR(__xludf.DUMMYFUNCTION("""COMPUTED_VALUE"""),"TNDHLTK22_202610515")</f>
        <v>TNDHLTK22_202610515</v>
      </c>
    </row>
    <row r="114">
      <c r="A114" s="10">
        <f>IFERROR(__xludf.DUMMYFUNCTION("""COMPUTED_VALUE"""),46022.59914476852)</f>
        <v>46022.59914</v>
      </c>
      <c r="B114" s="9" t="str">
        <f>IFERROR(__xludf.DUMMYFUNCTION("""COMPUTED_VALUE"""),"lephuchau2004g@gmail.com")</f>
        <v>lephuchau2004g@gmail.com</v>
      </c>
      <c r="C114" s="9">
        <f>IFERROR(__xludf.DUMMYFUNCTION("""COMPUTED_VALUE"""),1.22000472E8)</f>
        <v>122000472</v>
      </c>
      <c r="D114" s="9" t="str">
        <f>IFERROR(__xludf.DUMMYFUNCTION("""COMPUTED_VALUE"""),"Lê Phúc Hậu")</f>
        <v>Lê Phúc Hậu</v>
      </c>
      <c r="E114" s="9" t="str">
        <f>IFERROR(__xludf.DUMMYFUNCTION("""COMPUTED_VALUE"""),"0383469676")</f>
        <v>0383469676</v>
      </c>
      <c r="F114" s="9" t="str">
        <f>IFERROR(__xludf.DUMMYFUNCTION("""COMPUTED_VALUE"""),"22CT115")</f>
        <v>22CT115</v>
      </c>
      <c r="G114" s="9" t="str">
        <f>IFERROR(__xludf.DUMMYFUNCTION("""COMPUTED_VALUE"""),"Thực hiện đồ án tốt nghiệp")</f>
        <v>Thực hiện đồ án tốt nghiệp</v>
      </c>
      <c r="H114" s="9" t="str">
        <f>IFERROR(__xludf.DUMMYFUNCTION("""COMPUTED_VALUE"""),"Bùi Thị Thu Trang")</f>
        <v>Bùi Thị Thu Trang</v>
      </c>
      <c r="I114" s="9" t="str">
        <f>IFERROR(__xludf.DUMMYFUNCTION("""COMPUTED_VALUE"""),"Bùi Thị Thu Trang")</f>
        <v>Bùi Thị Thu Trang</v>
      </c>
      <c r="J114" s="9" t="str">
        <f>IFERROR(__xludf.DUMMYFUNCTION("""COMPUTED_VALUE"""),"Quản lý khách sạn")</f>
        <v>Quản lý khách sạn</v>
      </c>
      <c r="K114" s="9" t="str">
        <f>IFERROR(__xludf.DUMMYFUNCTION("""COMPUTED_VALUE"""),"Tot")</f>
        <v>Tot</v>
      </c>
      <c r="L114" s="9" t="str">
        <f>IFERROR(__xludf.DUMMYFUNCTION("""COMPUTED_VALUE"""),"Không ")</f>
        <v>Không </v>
      </c>
      <c r="M114" s="9"/>
      <c r="N114" s="9"/>
      <c r="O114" s="9"/>
      <c r="P114" s="9"/>
      <c r="Q114" s="9" t="str">
        <f>IFERROR(__xludf.DUMMYFUNCTION("""COMPUTED_VALUE"""),"TNDHLTK22_202610515")</f>
        <v>TNDHLTK22_202610515</v>
      </c>
    </row>
    <row r="115">
      <c r="A115" s="10">
        <f>IFERROR(__xludf.DUMMYFUNCTION("""COMPUTED_VALUE"""),46022.63003211806)</f>
        <v>46022.63003</v>
      </c>
      <c r="B115" s="9" t="str">
        <f>IFERROR(__xludf.DUMMYFUNCTION("""COMPUTED_VALUE"""),"giabao.tran2824@gmail.com")</f>
        <v>giabao.tran2824@gmail.com</v>
      </c>
      <c r="C115" s="9">
        <f>IFERROR(__xludf.DUMMYFUNCTION("""COMPUTED_VALUE"""),1.22001385E8)</f>
        <v>122001385</v>
      </c>
      <c r="D115" s="9" t="str">
        <f>IFERROR(__xludf.DUMMYFUNCTION("""COMPUTED_VALUE"""),"Trần Gia Bảo")</f>
        <v>Trần Gia Bảo</v>
      </c>
      <c r="E115" s="9" t="str">
        <f>IFERROR(__xludf.DUMMYFUNCTION("""COMPUTED_VALUE"""),"0357823141")</f>
        <v>0357823141</v>
      </c>
      <c r="F115" s="9" t="str">
        <f>IFERROR(__xludf.DUMMYFUNCTION("""COMPUTED_VALUE"""),"22CT115")</f>
        <v>22CT115</v>
      </c>
      <c r="G115" s="9" t="str">
        <f>IFERROR(__xludf.DUMMYFUNCTION("""COMPUTED_VALUE"""),"Thực hiện đồ án tốt nghiệp")</f>
        <v>Thực hiện đồ án tốt nghiệp</v>
      </c>
      <c r="H115" s="9" t="str">
        <f>IFERROR(__xludf.DUMMYFUNCTION("""COMPUTED_VALUE"""),"Hồ Ngọc Hoàng Long")</f>
        <v>Hồ Ngọc Hoàng Long</v>
      </c>
      <c r="I115" s="9"/>
      <c r="J115" s="9" t="str">
        <f>IFERROR(__xludf.DUMMYFUNCTION("""COMPUTED_VALUE"""),"Nghiên cứu và phát triển hệ thống Smart Home ứng dụng AI")</f>
        <v>Nghiên cứu và phát triển hệ thống Smart Home ứng dụng AI</v>
      </c>
      <c r="K115" s="9" t="str">
        <f>IFERROR(__xludf.DUMMYFUNCTION("""COMPUTED_VALUE"""),"- Xây dựng được mô hình Smart Home
- Kiểm soát điện năng ngôi nhà
- Điều khiển thiết bị trong căn nhà từ xa
- Giám sát điều kiện môi trường của căn nhà
- Hệ thống năng lượng mặt trời
- Kiểm soát và cảnh báo bất thường bằng AI
- Tối ưu sử dụng năng lượng b"&amp;"ằng AI")</f>
        <v>- Xây dựng được mô hình Smart Home
- Kiểm soát điện năng ngôi nhà
- Điều khiển thiết bị trong căn nhà từ xa
- Giám sát điều kiện môi trường của căn nhà
- Hệ thống năng lượng mặt trời
- Kiểm soát và cảnh báo bất thường bằng AI
- Tối ưu sử dụng năng lượng bằng AI</v>
      </c>
      <c r="L115" s="9" t="str">
        <f>IFERROR(__xludf.DUMMYFUNCTION("""COMPUTED_VALUE"""),"- Mô hình Smart Home
- Ứng dụng điều khiển trên nền tảng Web cho thiết bị di động
- Xây dựng Server và hệ thống AI")</f>
        <v>- Mô hình Smart Home
- Ứng dụng điều khiển trên nền tảng Web cho thiết bị di động
- Xây dựng Server và hệ thống AI</v>
      </c>
      <c r="M115" s="9"/>
      <c r="N115" s="9"/>
      <c r="O115" s="9"/>
      <c r="P115" s="9"/>
      <c r="Q115" s="9" t="str">
        <f>IFERROR(__xludf.DUMMYFUNCTION("""COMPUTED_VALUE"""),"TNDHLTK22_202610515")</f>
        <v>TNDHLTK22_202610515</v>
      </c>
    </row>
    <row r="116">
      <c r="A116" s="10">
        <f>IFERROR(__xludf.DUMMYFUNCTION("""COMPUTED_VALUE"""),46022.639067615746)</f>
        <v>46022.63907</v>
      </c>
      <c r="B116" s="9" t="str">
        <f>IFERROR(__xludf.DUMMYFUNCTION("""COMPUTED_VALUE"""),"2004tathingocyen@gmail.com")</f>
        <v>2004tathingocyen@gmail.com</v>
      </c>
      <c r="C116" s="9">
        <f>IFERROR(__xludf.DUMMYFUNCTION("""COMPUTED_VALUE"""),1.22001353E8)</f>
        <v>122001353</v>
      </c>
      <c r="D116" s="9" t="str">
        <f>IFERROR(__xludf.DUMMYFUNCTION("""COMPUTED_VALUE"""),"Tạ Thị Ngọc Yến")</f>
        <v>Tạ Thị Ngọc Yến</v>
      </c>
      <c r="E116" s="9" t="str">
        <f>IFERROR(__xludf.DUMMYFUNCTION("""COMPUTED_VALUE"""),"0968171387")</f>
        <v>0968171387</v>
      </c>
      <c r="F116" s="9" t="str">
        <f>IFERROR(__xludf.DUMMYFUNCTION("""COMPUTED_VALUE"""),"22EC111")</f>
        <v>22EC111</v>
      </c>
      <c r="G116" s="9" t="str">
        <f>IFERROR(__xludf.DUMMYFUNCTION("""COMPUTED_VALUE"""),"Thực hiện đồ án tốt nghiệp")</f>
        <v>Thực hiện đồ án tốt nghiệp</v>
      </c>
      <c r="H116" s="9" t="str">
        <f>IFERROR(__xludf.DUMMYFUNCTION("""COMPUTED_VALUE"""),"Bùi Thị Thu Trang")</f>
        <v>Bùi Thị Thu Trang</v>
      </c>
      <c r="I116" s="9"/>
      <c r="J116" s="9" t="str">
        <f>IFERROR(__xludf.DUMMYFUNCTION("""COMPUTED_VALUE"""),"Xây dựng website kinh doanh phụ kiện thời trang")</f>
        <v>Xây dựng website kinh doanh phụ kiện thời trang</v>
      </c>
      <c r="K116" s="9" t="str">
        <f>IFERROR(__xludf.DUMMYFUNCTION("""COMPUTED_VALUE"""),"Xây dựng website kinh doanh phụ kiện thời trang với các chức năng cơ bản nhằm hỗ trợ hoạt động bán hàng trực tuyến cho cửa hàng.")</f>
        <v>Xây dựng website kinh doanh phụ kiện thời trang với các chức năng cơ bản nhằm hỗ trợ hoạt động bán hàng trực tuyến cho cửa hàng.</v>
      </c>
      <c r="L116" s="9" t="str">
        <f>IFERROR(__xludf.DUMMYFUNCTION("""COMPUTED_VALUE"""),"Thiết kế và xây dựng website kinh doanh phụ kiện thời trang, triển khai các chức năng quản lý sản phẩm, giỏ hàng, đặt hàng và phân tích dữ liệu bán hàng nhằm tối ưu chiến lược kinh doanh.")</f>
        <v>Thiết kế và xây dựng website kinh doanh phụ kiện thời trang, triển khai các chức năng quản lý sản phẩm, giỏ hàng, đặt hàng và phân tích dữ liệu bán hàng nhằm tối ưu chiến lược kinh doanh.</v>
      </c>
      <c r="M116" s="9"/>
      <c r="N116" s="9"/>
      <c r="O116" s="9"/>
      <c r="P116" s="9"/>
      <c r="Q116" s="9" t="str">
        <f>IFERROR(__xludf.DUMMYFUNCTION("""COMPUTED_VALUE"""),"TNDHLTK22_202610515")</f>
        <v>TNDHLTK22_202610515</v>
      </c>
    </row>
    <row r="117">
      <c r="A117" s="10">
        <f>IFERROR(__xludf.DUMMYFUNCTION("""COMPUTED_VALUE"""),46022.64124974537)</f>
        <v>46022.64125</v>
      </c>
      <c r="B117" s="9" t="str">
        <f>IFERROR(__xludf.DUMMYFUNCTION("""COMPUTED_VALUE"""),"lthy68534@gmail.com")</f>
        <v>lthy68534@gmail.com</v>
      </c>
      <c r="C117" s="9">
        <f>IFERROR(__xludf.DUMMYFUNCTION("""COMPUTED_VALUE"""),1.22001384E8)</f>
        <v>122001384</v>
      </c>
      <c r="D117" s="9" t="str">
        <f>IFERROR(__xludf.DUMMYFUNCTION("""COMPUTED_VALUE"""),"Lê Trần Mai Thy")</f>
        <v>Lê Trần Mai Thy</v>
      </c>
      <c r="E117" s="9" t="str">
        <f>IFERROR(__xludf.DUMMYFUNCTION("""COMPUTED_VALUE"""),"0392014642")</f>
        <v>0392014642</v>
      </c>
      <c r="F117" s="9" t="str">
        <f>IFERROR(__xludf.DUMMYFUNCTION("""COMPUTED_VALUE"""),"22EC111")</f>
        <v>22EC111</v>
      </c>
      <c r="G117" s="9" t="str">
        <f>IFERROR(__xludf.DUMMYFUNCTION("""COMPUTED_VALUE"""),"Thực hiện đồ án tốt nghiệp")</f>
        <v>Thực hiện đồ án tốt nghiệp</v>
      </c>
      <c r="H117" s="9" t="str">
        <f>IFERROR(__xludf.DUMMYFUNCTION("""COMPUTED_VALUE"""),"Bùi Thị Thu Trang")</f>
        <v>Bùi Thị Thu Trang</v>
      </c>
      <c r="I117" s="9"/>
      <c r="J117" s="9" t="str">
        <f>IFERROR(__xludf.DUMMYFUNCTION("""COMPUTED_VALUE"""),"Xây dựng website kinh doanh phụ kiện thời trang")</f>
        <v>Xây dựng website kinh doanh phụ kiện thời trang</v>
      </c>
      <c r="K117" s="9" t="str">
        <f>IFERROR(__xludf.DUMMYFUNCTION("""COMPUTED_VALUE"""),"Xây dựng website kinh doanh phụ kiện thời trang với các chức năng cơ bản nhằm hỗ trợ hoạt động bán hàng trực tuyến cho cửa hàng.")</f>
        <v>Xây dựng website kinh doanh phụ kiện thời trang với các chức năng cơ bản nhằm hỗ trợ hoạt động bán hàng trực tuyến cho cửa hàng.</v>
      </c>
      <c r="L117" s="9" t="str">
        <f>IFERROR(__xludf.DUMMYFUNCTION("""COMPUTED_VALUE"""),"Thiết kế và xây dựng website kinh doanh phụ kiện thời trang, triển khai các chức năng quản lý sản phẩm, giỏ hàng, đặt hàng và phân tích dữ liệu bán hàng nhằm tối ưu chiến lược kinh doanh.")</f>
        <v>Thiết kế và xây dựng website kinh doanh phụ kiện thời trang, triển khai các chức năng quản lý sản phẩm, giỏ hàng, đặt hàng và phân tích dữ liệu bán hàng nhằm tối ưu chiến lược kinh doanh.</v>
      </c>
      <c r="M117" s="9"/>
      <c r="N117" s="9"/>
      <c r="O117" s="9"/>
      <c r="P117" s="9"/>
      <c r="Q117" s="9" t="str">
        <f>IFERROR(__xludf.DUMMYFUNCTION("""COMPUTED_VALUE"""),"TNDHLTK22_202610515")</f>
        <v>TNDHLTK22_202610515</v>
      </c>
    </row>
    <row r="118">
      <c r="A118" s="10">
        <f>IFERROR(__xludf.DUMMYFUNCTION("""COMPUTED_VALUE"""),46022.7125910301)</f>
        <v>46022.71259</v>
      </c>
      <c r="B118" s="9" t="str">
        <f>IFERROR(__xludf.DUMMYFUNCTION("""COMPUTED_VALUE"""),"tnhungtran04@gmail.com")</f>
        <v>tnhungtran04@gmail.com</v>
      </c>
      <c r="C118" s="9">
        <f>IFERROR(__xludf.DUMMYFUNCTION("""COMPUTED_VALUE"""),1.22000648E8)</f>
        <v>122000648</v>
      </c>
      <c r="D118" s="9" t="str">
        <f>IFERROR(__xludf.DUMMYFUNCTION("""COMPUTED_VALUE"""),"Trần Tuyết Nhung")</f>
        <v>Trần Tuyết Nhung</v>
      </c>
      <c r="E118" s="9" t="str">
        <f>IFERROR(__xludf.DUMMYFUNCTION("""COMPUTED_VALUE"""),"0908843193")</f>
        <v>0908843193</v>
      </c>
      <c r="F118" s="9" t="str">
        <f>IFERROR(__xludf.DUMMYFUNCTION("""COMPUTED_VALUE"""),"22CT114")</f>
        <v>22CT114</v>
      </c>
      <c r="G118" s="9" t="str">
        <f>IFERROR(__xludf.DUMMYFUNCTION("""COMPUTED_VALUE"""),"Thực hiện đồ án tốt nghiệp")</f>
        <v>Thực hiện đồ án tốt nghiệp</v>
      </c>
      <c r="H118" s="9" t="str">
        <f>IFERROR(__xludf.DUMMYFUNCTION("""COMPUTED_VALUE"""),"Phan Thiện Phước")</f>
        <v>Phan Thiện Phước</v>
      </c>
      <c r="I118" s="9"/>
      <c r="J118" s="9" t="str">
        <f>IFERROR(__xludf.DUMMYFUNCTION("""COMPUTED_VALUE"""),"Hệ thống học tập thông minh với API GEMINI")</f>
        <v>Hệ thống học tập thông minh với API GEMINI</v>
      </c>
      <c r="K118" s="9" t="str">
        <f>IFERROR(__xludf.DUMMYFUNCTION("""COMPUTED_VALUE"""),"Xây dựng một hệ thống học tập thông minh ứng dụng trí tuệ nhân tạo thông qua API GEMINI nhằm hỗ trợ người học tiếp cận kiến thức một cách cá nhân hóa, hiệu quả và chủ động hơn. Hệ thống giúp gợi ý nội dung học tập phù hợp với trình độ, hỗ trợ giải đáp thắ"&amp;"c mắc, tạo câu hỏi ôn tập và nâng cao trải nghiệm học tập trong môi trường số.")</f>
        <v>Xây dựng một hệ thống học tập thông minh ứng dụng trí tuệ nhân tạo thông qua API GEMINI nhằm hỗ trợ người học tiếp cận kiến thức một cách cá nhân hóa, hiệu quả và chủ động hơn. Hệ thống giúp gợi ý nội dung học tập phù hợp với trình độ, hỗ trợ giải đáp thắc mắc, tạo câu hỏi ôn tập và nâng cao trải nghiệm học tập trong môi trường số.</v>
      </c>
      <c r="L118" s="9" t="str">
        <f>IFERROR(__xludf.DUMMYFUNCTION("""COMPUTED_VALUE"""),"- Nghiên cứu tổng quan về trí tuệ nhân tạo trong giáo dục và khả năng ứng dụng của API GEMINI.
- Phân tích yêu cầu và thiết kế mô hình hệ thống học tập thông minh.
- Tích hợp API GEMINI để xây dựng các chức năng chính như: hỗ trợ hỏi đáp, gợi ý nội dung h"&amp;"ọc tập, tạo câu hỏi luyện tập và tóm tắt kiến thức.
- Xây dựng giao diện người dùng thân thiện, dễ sử dụng.
- Thử nghiệm, đánh giá hiệu quả của hệ thống và đề xuất hướng cải tiến trong tương lai.")</f>
        <v>- Nghiên cứu tổng quan về trí tuệ nhân tạo trong giáo dục và khả năng ứng dụng của API GEMINI.
- Phân tích yêu cầu và thiết kế mô hình hệ thống học tập thông minh.
- Tích hợp API GEMINI để xây dựng các chức năng chính như: hỗ trợ hỏi đáp, gợi ý nội dung học tập, tạo câu hỏi luyện tập và tóm tắt kiến thức.
- Xây dựng giao diện người dùng thân thiện, dễ sử dụng.
- Thử nghiệm, đánh giá hiệu quả của hệ thống và đề xuất hướng cải tiến trong tương lai.</v>
      </c>
      <c r="M118" s="9"/>
      <c r="N118" s="9"/>
      <c r="O118" s="9"/>
      <c r="P118" s="9"/>
      <c r="Q118" s="9" t="str">
        <f>IFERROR(__xludf.DUMMYFUNCTION("""COMPUTED_VALUE"""),"TNDHLTK22_202610515")</f>
        <v>TNDHLTK22_202610515</v>
      </c>
    </row>
    <row r="119">
      <c r="A119" s="10">
        <f>IFERROR(__xludf.DUMMYFUNCTION("""COMPUTED_VALUE"""),46022.732779259255)</f>
        <v>46022.73278</v>
      </c>
      <c r="B119" s="9" t="str">
        <f>IFERROR(__xludf.DUMMYFUNCTION("""COMPUTED_VALUE"""),"tranlulongvan@gmail.com")</f>
        <v>tranlulongvan@gmail.com</v>
      </c>
      <c r="C119" s="9">
        <f>IFERROR(__xludf.DUMMYFUNCTION("""COMPUTED_VALUE"""),1.22000188E8)</f>
        <v>122000188</v>
      </c>
      <c r="D119" s="9" t="str">
        <f>IFERROR(__xludf.DUMMYFUNCTION("""COMPUTED_VALUE"""),"Trần Lữ Long Vân")</f>
        <v>Trần Lữ Long Vân</v>
      </c>
      <c r="E119" s="9" t="str">
        <f>IFERROR(__xludf.DUMMYFUNCTION("""COMPUTED_VALUE"""),"0973269384")</f>
        <v>0973269384</v>
      </c>
      <c r="F119" s="9" t="str">
        <f>IFERROR(__xludf.DUMMYFUNCTION("""COMPUTED_VALUE"""),"22EC111")</f>
        <v>22EC111</v>
      </c>
      <c r="G119" s="9" t="str">
        <f>IFERROR(__xludf.DUMMYFUNCTION("""COMPUTED_VALUE"""),"Thực hiện đồ án tốt nghiệp")</f>
        <v>Thực hiện đồ án tốt nghiệp</v>
      </c>
      <c r="H119" s="9" t="str">
        <f>IFERROR(__xludf.DUMMYFUNCTION("""COMPUTED_VALUE"""),"Trần Thị Diệu Hiền")</f>
        <v>Trần Thị Diệu Hiền</v>
      </c>
      <c r="I119" s="9" t="str">
        <f>IFERROR(__xludf.DUMMYFUNCTION("""COMPUTED_VALUE"""),"Trần Thị Diệu Hiền")</f>
        <v>Trần Thị Diệu Hiền</v>
      </c>
      <c r="J119" s="9" t="str">
        <f>IFERROR(__xludf.DUMMYFUNCTION("""COMPUTED_VALUE"""),"Man May Store")</f>
        <v>Man May Store</v>
      </c>
      <c r="K119" s="9" t="str">
        <f>IFERROR(__xludf.DUMMYFUNCTION("""COMPUTED_VALUE"""),"Mục tiêu chính: Bán các mặt hàng điện tử đã qua sử dụng ( Second Hand )
Mục tiêu phụ: Giải quyết vấn đề rác thải điện tử, ô nhiễm môi trường do rác thải điện tử ")</f>
        <v>Mục tiêu chính: Bán các mặt hàng điện tử đã qua sử dụng ( Second Hand )
Mục tiêu phụ: Giải quyết vấn đề rác thải điện tử, ô nhiễm môi trường do rác thải điện tử </v>
      </c>
      <c r="L119" s="9" t="str">
        <f>IFERROR(__xludf.DUMMYFUNCTION("""COMPUTED_VALUE"""),"- Landing Page: Thể hiện thông tin cửa hàng nội dung sản phẩm
- Social Media: Facebook, tik tok, Instagram : đăng tải nội dung content, kênh bán hàng phụ ")</f>
        <v>- Landing Page: Thể hiện thông tin cửa hàng nội dung sản phẩm
- Social Media: Facebook, tik tok, Instagram : đăng tải nội dung content, kênh bán hàng phụ </v>
      </c>
      <c r="M119" s="9"/>
      <c r="N119" s="9"/>
      <c r="O119" s="9"/>
      <c r="P119" s="9"/>
      <c r="Q119" s="9" t="str">
        <f>IFERROR(__xludf.DUMMYFUNCTION("""COMPUTED_VALUE"""),"TNDHLTK22_202610515")</f>
        <v>TNDHLTK22_202610515</v>
      </c>
    </row>
    <row r="120">
      <c r="A120" s="10">
        <f>IFERROR(__xludf.DUMMYFUNCTION("""COMPUTED_VALUE"""),46022.766314849534)</f>
        <v>46022.76631</v>
      </c>
      <c r="B120" s="9" t="str">
        <f>IFERROR(__xludf.DUMMYFUNCTION("""COMPUTED_VALUE"""),"minhgameripgelle@gmail.com")</f>
        <v>minhgameripgelle@gmail.com</v>
      </c>
      <c r="C120" s="9">
        <f>IFERROR(__xludf.DUMMYFUNCTION("""COMPUTED_VALUE"""),1.22000537E8)</f>
        <v>122000537</v>
      </c>
      <c r="D120" s="9" t="str">
        <f>IFERROR(__xludf.DUMMYFUNCTION("""COMPUTED_VALUE"""),"Trịnh Vũ Tuấn Minh")</f>
        <v>Trịnh Vũ Tuấn Minh</v>
      </c>
      <c r="E120" s="9" t="str">
        <f>IFERROR(__xludf.DUMMYFUNCTION("""COMPUTED_VALUE"""),"0357976359")</f>
        <v>0357976359</v>
      </c>
      <c r="F120" s="9" t="str">
        <f>IFERROR(__xludf.DUMMYFUNCTION("""COMPUTED_VALUE"""),"22CT112")</f>
        <v>22CT112</v>
      </c>
      <c r="G120" s="9" t="str">
        <f>IFERROR(__xludf.DUMMYFUNCTION("""COMPUTED_VALUE"""),"Thực hiện đồ án tốt nghiệp")</f>
        <v>Thực hiện đồ án tốt nghiệp</v>
      </c>
      <c r="H120" s="9" t="str">
        <f>IFERROR(__xludf.DUMMYFUNCTION("""COMPUTED_VALUE"""),"Nguyễn Minh Phúc")</f>
        <v>Nguyễn Minh Phúc</v>
      </c>
      <c r="I120" s="9"/>
      <c r="J120" s="9" t="str">
        <f>IFERROR(__xludf.DUMMYFUNCTION("""COMPUTED_VALUE"""),"Xây dựng Dashboard quản lý tiến độ học lập trình cho Quản lý ngành")</f>
        <v>Xây dựng Dashboard quản lý tiến độ học lập trình cho Quản lý ngành</v>
      </c>
      <c r="K120" s="9" t="str">
        <f>IFERROR(__xludf.DUMMYFUNCTION("""COMPUTED_VALUE"""),"Mục tiêu của đề tài Xây dựng Dashboard quản lý tiến độ học lập trình cho Quản lý ngành là thiết kế một hệ thống trực quan giúp theo dõi, tổng hợp và đánh giá tiến độ học tập lập trình của người học theo từng giai đoạn. Dashboard hỗ trợ Quản lý ngành nắm b"&amp;"ắt nhanh tình hình học tập, phát hiện sớm các vấn đề còn hạn chế, từ đó đưa ra quyết định điều chỉnh kế hoạch, nội dung hoặc phương pháp đào tạo nhằm nâng cao hiệu quả giảng dạy và chất lượng học tập")</f>
        <v>Mục tiêu của đề tài Xây dựng Dashboard quản lý tiến độ học lập trình cho Quản lý ngành là thiết kế một hệ thống trực quan giúp theo dõi, tổng hợp và đánh giá tiến độ học tập lập trình của người học theo từng giai đoạn. Dashboard hỗ trợ Quản lý ngành nắm bắt nhanh tình hình học tập, phát hiện sớm các vấn đề còn hạn chế, từ đó đưa ra quyết định điều chỉnh kế hoạch, nội dung hoặc phương pháp đào tạo nhằm nâng cao hiệu quả giảng dạy và chất lượng học tập</v>
      </c>
      <c r="L120" s="9" t="str">
        <f>IFERROR(__xludf.DUMMYFUNCTION("""COMPUTED_VALUE"""),"Bao gồm việc khảo sát nhu cầu quản lý tiến độ học, xác định các chỉ số cần theo dõi; thu thập và xử lý dữ liệu học tập (điểm số, tiến độ bài học, mức độ hoàn thành); thiết kế và xây dựng Dashboard trực quan với các biểu đồ, bảng thống kê; và đánh giá, hoà"&amp;"n thiện hệ thống dựa trên dữ liệu mẫu nhằm đảm bảo Dashboard hỗ trợ hiệu quả cho công tác quản lý ngành")</f>
        <v>Bao gồm việc khảo sát nhu cầu quản lý tiến độ học, xác định các chỉ số cần theo dõi; thu thập và xử lý dữ liệu học tập (điểm số, tiến độ bài học, mức độ hoàn thành); thiết kế và xây dựng Dashboard trực quan với các biểu đồ, bảng thống kê; và đánh giá, hoàn thiện hệ thống dựa trên dữ liệu mẫu nhằm đảm bảo Dashboard hỗ trợ hiệu quả cho công tác quản lý ngành</v>
      </c>
      <c r="M120" s="9"/>
      <c r="N120" s="9"/>
      <c r="O120" s="9"/>
      <c r="P120" s="9"/>
      <c r="Q120" s="9" t="str">
        <f>IFERROR(__xludf.DUMMYFUNCTION("""COMPUTED_VALUE"""),"TNDHLTK22_202610515")</f>
        <v>TNDHLTK22_202610515</v>
      </c>
    </row>
    <row r="121">
      <c r="A121" s="10">
        <f>IFERROR(__xludf.DUMMYFUNCTION("""COMPUTED_VALUE"""),46022.851035625004)</f>
        <v>46022.85104</v>
      </c>
      <c r="B121" s="9" t="str">
        <f>IFERROR(__xludf.DUMMYFUNCTION("""COMPUTED_VALUE"""),"thanhbinh2132004@gmail.com")</f>
        <v>thanhbinh2132004@gmail.com</v>
      </c>
      <c r="C121" s="9">
        <f>IFERROR(__xludf.DUMMYFUNCTION("""COMPUTED_VALUE"""),1.22000293E8)</f>
        <v>122000293</v>
      </c>
      <c r="D121" s="9" t="str">
        <f>IFERROR(__xludf.DUMMYFUNCTION("""COMPUTED_VALUE"""),"Nguyễn Thái Thanh Bình")</f>
        <v>Nguyễn Thái Thanh Bình</v>
      </c>
      <c r="E121" s="9" t="str">
        <f>IFERROR(__xludf.DUMMYFUNCTION("""COMPUTED_VALUE"""),"0347279839")</f>
        <v>0347279839</v>
      </c>
      <c r="F121" s="9" t="str">
        <f>IFERROR(__xludf.DUMMYFUNCTION("""COMPUTED_VALUE"""),"22EC111")</f>
        <v>22EC111</v>
      </c>
      <c r="G121" s="9" t="str">
        <f>IFERROR(__xludf.DUMMYFUNCTION("""COMPUTED_VALUE"""),"Thực hiện đồ án tốt nghiệp")</f>
        <v>Thực hiện đồ án tốt nghiệp</v>
      </c>
      <c r="H121" s="9" t="str">
        <f>IFERROR(__xludf.DUMMYFUNCTION("""COMPUTED_VALUE"""),"Trần Thị Diệu Hiền")</f>
        <v>Trần Thị Diệu Hiền</v>
      </c>
      <c r="I121" s="9" t="str">
        <f>IFERROR(__xludf.DUMMYFUNCTION("""COMPUTED_VALUE"""),"Trần Thị Diệu Hiền")</f>
        <v>Trần Thị Diệu Hiền</v>
      </c>
      <c r="J121" s="9" t="str">
        <f>IFERROR(__xludf.DUMMYFUNCTION("""COMPUTED_VALUE"""),"MM Store")</f>
        <v>MM Store</v>
      </c>
      <c r="K121" s="9" t="str">
        <f>IFERROR(__xludf.DUMMYFUNCTION("""COMPUTED_VALUE"""),"Mục tiêu chính: Bán các mặt hàng điện tử đã qua sử dụng ( Second Hand )
Mục tiêu phụ: Giải quyết vấn đề rác thải điện tử, ô nhiễm môi trường do rác thải điện tử")</f>
        <v>Mục tiêu chính: Bán các mặt hàng điện tử đã qua sử dụng ( Second Hand )
Mục tiêu phụ: Giải quyết vấn đề rác thải điện tử, ô nhiễm môi trường do rác thải điện tử</v>
      </c>
      <c r="L121" s="9" t="str">
        <f>IFERROR(__xludf.DUMMYFUNCTION("""COMPUTED_VALUE"""),"- Landing Page: Thể hiện thông tin cửa hàng nội dung sản phẩm
- Social Media: Facebook, tik tok, Instagram : đăng tải nội dung content, kênh bán hàng phụ")</f>
        <v>- Landing Page: Thể hiện thông tin cửa hàng nội dung sản phẩm
- Social Media: Facebook, tik tok, Instagram : đăng tải nội dung content, kênh bán hàng phụ</v>
      </c>
      <c r="M121" s="9"/>
      <c r="N121" s="9"/>
      <c r="O121" s="9"/>
      <c r="P121" s="9"/>
      <c r="Q121" s="9" t="str">
        <f>IFERROR(__xludf.DUMMYFUNCTION("""COMPUTED_VALUE"""),"TNDHLTK22_202610515")</f>
        <v>TNDHLTK22_202610515</v>
      </c>
    </row>
    <row r="122">
      <c r="A122" s="10">
        <f>IFERROR(__xludf.DUMMYFUNCTION("""COMPUTED_VALUE"""),46022.950906666665)</f>
        <v>46022.95091</v>
      </c>
      <c r="B122" s="9" t="str">
        <f>IFERROR(__xludf.DUMMYFUNCTION("""COMPUTED_VALUE"""),"dautuan032004@gmail.com")</f>
        <v>dautuan032004@gmail.com</v>
      </c>
      <c r="C122" s="9">
        <f>IFERROR(__xludf.DUMMYFUNCTION("""COMPUTED_VALUE"""),1.22001541E8)</f>
        <v>122001541</v>
      </c>
      <c r="D122" s="9" t="str">
        <f>IFERROR(__xludf.DUMMYFUNCTION("""COMPUTED_VALUE"""),"Đậu Minh Tuấn")</f>
        <v>Đậu Minh Tuấn</v>
      </c>
      <c r="E122" s="9" t="str">
        <f>IFERROR(__xludf.DUMMYFUNCTION("""COMPUTED_VALUE"""),"0325586629")</f>
        <v>0325586629</v>
      </c>
      <c r="F122" s="9" t="str">
        <f>IFERROR(__xludf.DUMMYFUNCTION("""COMPUTED_VALUE"""),"22CT115")</f>
        <v>22CT115</v>
      </c>
      <c r="G122" s="9" t="str">
        <f>IFERROR(__xludf.DUMMYFUNCTION("""COMPUTED_VALUE"""),"Thực hiện đồ án tốt nghiệp")</f>
        <v>Thực hiện đồ án tốt nghiệp</v>
      </c>
      <c r="H122" s="9" t="str">
        <f>IFERROR(__xludf.DUMMYFUNCTION("""COMPUTED_VALUE"""),"Hồ Ngọc Hoàng Long")</f>
        <v>Hồ Ngọc Hoàng Long</v>
      </c>
      <c r="I122" s="9"/>
      <c r="J122" s="9" t="str">
        <f>IFERROR(__xludf.DUMMYFUNCTION("""COMPUTED_VALUE"""),"Nghiên cứu và phát triển hệ thống Smart Home ứng dụng AI")</f>
        <v>Nghiên cứu và phát triển hệ thống Smart Home ứng dụng AI</v>
      </c>
      <c r="K122" s="9" t="str">
        <f>IFERROR(__xludf.DUMMYFUNCTION("""COMPUTED_VALUE"""),"- Xây dựng được mô hình Smart Home
- Kiểm soát điện năng ngôi nhà
- Điều khiển thiết bị trong căn nhà từ xa
- Giám sát điều kiện môi trường của căn nhà
- Hệ thống năng lượng mặt trời
- Kiểm soát và cảnh báo bất thường bằng AI
- Tối ưu sử dụng năng lượng b"&amp;"ằng AI")</f>
        <v>- Xây dựng được mô hình Smart Home
- Kiểm soát điện năng ngôi nhà
- Điều khiển thiết bị trong căn nhà từ xa
- Giám sát điều kiện môi trường của căn nhà
- Hệ thống năng lượng mặt trời
- Kiểm soát và cảnh báo bất thường bằng AI
- Tối ưu sử dụng năng lượng bằng AI</v>
      </c>
      <c r="L122" s="9" t="str">
        <f>IFERROR(__xludf.DUMMYFUNCTION("""COMPUTED_VALUE"""),"- Mô hình Smart Home
- Ứng dụng điều khiển trên nền tảng Web cho thiết bị di động
- Xây dựng Server và hệ thống AI")</f>
        <v>- Mô hình Smart Home
- Ứng dụng điều khiển trên nền tảng Web cho thiết bị di động
- Xây dựng Server và hệ thống AI</v>
      </c>
      <c r="M122" s="9"/>
      <c r="N122" s="9"/>
      <c r="O122" s="9"/>
      <c r="P122" s="9"/>
      <c r="Q122" s="9" t="str">
        <f>IFERROR(__xludf.DUMMYFUNCTION("""COMPUTED_VALUE"""),"TNDHLTK22_202610515")</f>
        <v>TNDHLTK22_202610515</v>
      </c>
    </row>
    <row r="123">
      <c r="A123" s="10">
        <f>IFERROR(__xludf.DUMMYFUNCTION("""COMPUTED_VALUE"""),46023.40708954861)</f>
        <v>46023.40709</v>
      </c>
      <c r="B123" s="9" t="str">
        <f>IFERROR(__xludf.DUMMYFUNCTION("""COMPUTED_VALUE"""),"nminhthuan3004@gmail.com")</f>
        <v>nminhthuan3004@gmail.com</v>
      </c>
      <c r="C123" s="9">
        <f>IFERROR(__xludf.DUMMYFUNCTION("""COMPUTED_VALUE"""),1.22001008E8)</f>
        <v>122001008</v>
      </c>
      <c r="D123" s="9" t="str">
        <f>IFERROR(__xludf.DUMMYFUNCTION("""COMPUTED_VALUE"""),"Nguyễn Minh Thuận")</f>
        <v>Nguyễn Minh Thuận</v>
      </c>
      <c r="E123" s="9" t="str">
        <f>IFERROR(__xludf.DUMMYFUNCTION("""COMPUTED_VALUE"""),"0862286910")</f>
        <v>0862286910</v>
      </c>
      <c r="F123" s="9" t="str">
        <f>IFERROR(__xludf.DUMMYFUNCTION("""COMPUTED_VALUE"""),"22EC1111")</f>
        <v>22EC1111</v>
      </c>
      <c r="G123" s="9" t="str">
        <f>IFERROR(__xludf.DUMMYFUNCTION("""COMPUTED_VALUE"""),"Thực hiện đồ án tốt nghiệp")</f>
        <v>Thực hiện đồ án tốt nghiệp</v>
      </c>
      <c r="H123" s="9" t="str">
        <f>IFERROR(__xludf.DUMMYFUNCTION("""COMPUTED_VALUE"""),"Trần Thị Diệu Hiền")</f>
        <v>Trần Thị Diệu Hiền</v>
      </c>
      <c r="I123" s="9" t="str">
        <f>IFERROR(__xludf.DUMMYFUNCTION("""COMPUTED_VALUE"""),"Trần Thị Diệu Hiền")</f>
        <v>Trần Thị Diệu Hiền</v>
      </c>
      <c r="J123" s="9" t="str">
        <f>IFERROR(__xludf.DUMMYFUNCTION("""COMPUTED_VALUE"""),"Xây dựng và triển khai hệ thống sàn thương mại điện tử đa nhà bán cho thuê nhà trọ sinh viên tại khu vực Bửu Long – Biên Hòa")</f>
        <v>Xây dựng và triển khai hệ thống sàn thương mại điện tử đa nhà bán cho thuê nhà trọ sinh viên tại khu vực Bửu Long – Biên Hòa</v>
      </c>
      <c r="K123" s="9" t="str">
        <f>IFERROR(__xludf.DUMMYFUNCTION("""COMPUTED_VALUE"""),"Mục tiêu:
2. Mục tiêu đề tài
Mục tiêu chung
 • Xây dựng hệ thống website sàn TMĐT đa nhà bán phục vụ nhu cầu thuê nhà trọ sinh viên.
Mục tiêu cụ thể
 • Phân tích nhu cầu thuê trọ sinh viên khu Bửu Long.
 • Thiết kế hệ thống website cho phép chủ trọ đăng"&amp;" tin.
 • Tổ chức vận hành sàn thuê trọ.
 • Đánh giá hiệu quả hoạt động sàn.")</f>
        <v>Mục tiêu:
2. Mục tiêu đề tài
Mục tiêu chung
 • Xây dựng hệ thống website sàn TMĐT đa nhà bán phục vụ nhu cầu thuê nhà trọ sinh viên.
Mục tiêu cụ thể
 • Phân tích nhu cầu thuê trọ sinh viên khu Bửu Long.
 • Thiết kế hệ thống website cho phép chủ trọ đăng tin.
 • Tổ chức vận hành sàn thuê trọ.
 • Đánh giá hiệu quả hoạt động sàn.</v>
      </c>
      <c r="L123" s="9" t="str">
        <f>IFERROR(__xludf.DUMMYFUNCTION("""COMPUTED_VALUE"""),"Nội dung: 
1. Nghiên cứu cơ sở lý luận về thương mại điện tử và mô hình sàn TMĐT đa nhà bán
 • Tổng quan về thương mại điện tử.
 • Khái niệm và đặc điểm của sàn TMĐT đa nhà bán.
 • Vai trò của website trong hoạt động trung gian cho thuê nhà trọ.
 2. Khảo "&amp;"sát nhu cầu thuê nhà trọ của sinh viên và thực trạng các nền tảng cho thuê hiện nay
 • Nhu cầu tìm kiếm nhà trọ của sinh viên khu vực Bửu Long – Biên Hòa.
 • Đánh giá ưu, nhược điểm của một số nền tảng cho thuê nhà trọ hiện có.
 3. Phân tích yêu cầu và th"&amp;"iết kế hệ thống sàn TMĐT cho thuê nhà trọ sinh viên
 • Phân tích yêu cầu chức năng và phi chức năng của hệ thống.
 • Thiết kế kiến trúc tổng thể và các phân hệ chính của website.
 4. Xây dựng và triển khai website sàn TMĐT đa nhà bán cho thuê nhà trọ
 • X"&amp;"ây dựng giao diện và các chức năng cơ bản của website.
 • Thiết lập cơ sở dữ liệu và quản lý thông tin người dùng, phòng trọ.
 5. Tổ chức vận hành và quản lý hoạt động của sàn TMĐT
 • Quy trình đăng tin, kiểm duyệt và hiển thị phòng trọ.
 • Cơ chế quản lý"&amp;" chủ trọ và người thuê.
 6. Đánh giá hiệu quả hoạt động và đề xuất giải pháp hoàn thiện hệ thống
 • Đánh giá hiệu quả dựa trên các chỉ số hoạt động của hệ thống.
 • Đề xuất giải pháp cải tiến nhằm nâng cao hiệu quả vận hành và trải nghiệm người dùng.")</f>
        <v>Nội dung: 
1. Nghiên cứu cơ sở lý luận về thương mại điện tử và mô hình sàn TMĐT đa nhà bán
 • Tổng quan về thương mại điện tử.
 • Khái niệm và đặc điểm của sàn TMĐT đa nhà bán.
 • Vai trò của website trong hoạt động trung gian cho thuê nhà trọ.
 2. Khảo sát nhu cầu thuê nhà trọ của sinh viên và thực trạng các nền tảng cho thuê hiện nay
 • Nhu cầu tìm kiếm nhà trọ của sinh viên khu vực Bửu Long – Biên Hòa.
 • Đánh giá ưu, nhược điểm của một số nền tảng cho thuê nhà trọ hiện có.
 3. Phân tích yêu cầu và thiết kế hệ thống sàn TMĐT cho thuê nhà trọ sinh viên
 • Phân tích yêu cầu chức năng và phi chức năng của hệ thống.
 • Thiết kế kiến trúc tổng thể và các phân hệ chính của website.
 4. Xây dựng và triển khai website sàn TMĐT đa nhà bán cho thuê nhà trọ
 • Xây dựng giao diện và các chức năng cơ bản của website.
 • Thiết lập cơ sở dữ liệu và quản lý thông tin người dùng, phòng trọ.
 5. Tổ chức vận hành và quản lý hoạt động của sàn TMĐT
 • Quy trình đăng tin, kiểm duyệt và hiển thị phòng trọ.
 • Cơ chế quản lý chủ trọ và người thuê.
 6. Đánh giá hiệu quả hoạt động và đề xuất giải pháp hoàn thiện hệ thống
 • Đánh giá hiệu quả dựa trên các chỉ số hoạt động của hệ thống.
 • Đề xuất giải pháp cải tiến nhằm nâng cao hiệu quả vận hành và trải nghiệm người dùng.</v>
      </c>
      <c r="M123" s="9" t="str">
        <f>IFERROR(__xludf.DUMMYFUNCTION("""COMPUTED_VALUE"""),"Thực hiện cùng Nguyễn Vũ Minh Triết 22EC111")</f>
        <v>Thực hiện cùng Nguyễn Vũ Minh Triết 22EC111</v>
      </c>
      <c r="N123" s="9"/>
      <c r="O123" s="9"/>
      <c r="P123" s="9"/>
      <c r="Q123" s="9" t="str">
        <f>IFERROR(__xludf.DUMMYFUNCTION("""COMPUTED_VALUE"""),"TNDHLTK22_202610515")</f>
        <v>TNDHLTK22_202610515</v>
      </c>
    </row>
    <row r="124">
      <c r="A124" s="10">
        <f>IFERROR(__xludf.DUMMYFUNCTION("""COMPUTED_VALUE"""),46023.81735869213)</f>
        <v>46023.81736</v>
      </c>
      <c r="B124" s="9" t="str">
        <f>IFERROR(__xludf.DUMMYFUNCTION("""COMPUTED_VALUE"""),"nhuquynhthi2k4@gmail.com")</f>
        <v>nhuquynhthi2k4@gmail.com</v>
      </c>
      <c r="C124" s="9">
        <f>IFERROR(__xludf.DUMMYFUNCTION("""COMPUTED_VALUE"""),1.22000203E8)</f>
        <v>122000203</v>
      </c>
      <c r="D124" s="9" t="str">
        <f>IFERROR(__xludf.DUMMYFUNCTION("""COMPUTED_VALUE"""),"Trần Thị Như Quỳnh ")</f>
        <v>Trần Thị Như Quỳnh </v>
      </c>
      <c r="E124" s="9" t="str">
        <f>IFERROR(__xludf.DUMMYFUNCTION("""COMPUTED_VALUE"""),"0363169755")</f>
        <v>0363169755</v>
      </c>
      <c r="F124" s="9" t="str">
        <f>IFERROR(__xludf.DUMMYFUNCTION("""COMPUTED_VALUE"""),"22CT115")</f>
        <v>22CT115</v>
      </c>
      <c r="G124" s="9" t="str">
        <f>IFERROR(__xludf.DUMMYFUNCTION("""COMPUTED_VALUE"""),"Thực hiện đồ án tốt nghiệp")</f>
        <v>Thực hiện đồ án tốt nghiệp</v>
      </c>
      <c r="H124" s="9" t="str">
        <f>IFERROR(__xludf.DUMMYFUNCTION("""COMPUTED_VALUE"""),"Nguyễn Minh Phúc")</f>
        <v>Nguyễn Minh Phúc</v>
      </c>
      <c r="I124" s="9"/>
      <c r="J124" s="9" t="str">
        <f>IFERROR(__xludf.DUMMYFUNCTION("""COMPUTED_VALUE"""),"Xây dựng module hệ thống gợi ý lỗi và feedback tự động trong lập trình python")</f>
        <v>Xây dựng module hệ thống gợi ý lỗi và feedback tự động trong lập trình python</v>
      </c>
      <c r="K124" s="9" t="str">
        <f>IFERROR(__xludf.DUMMYFUNCTION("""COMPUTED_VALUE"""),"-	Nghiên cứu và phát triển một module hệ thống gợi ý lỗi và phản hồi tự động trong lập trình Python.
-	Ứng dụng các kỹ thuật phân tích mã nguồn để nhận diện lỗi cú pháp và lỗi logic, nhằm hỗ trợ sinh viên trong quá trình học tập.
-	Tạo ra một hệ thống thâ"&amp;"n thiện, dễ sử dụng cho cả giảng viên và sinh viên, với khả năng cung cấp phản hồi tức thì và gợi ý sửa chữa.")</f>
        <v>-	Nghiên cứu và phát triển một module hệ thống gợi ý lỗi và phản hồi tự động trong lập trình Python.
-	Ứng dụng các kỹ thuật phân tích mã nguồn để nhận diện lỗi cú pháp và lỗi logic, nhằm hỗ trợ sinh viên trong quá trình học tập.
-	Tạo ra một hệ thống thân thiện, dễ sử dụng cho cả giảng viên và sinh viên, với khả năng cung cấp phản hồi tức thì và gợi ý sửa chữa.</v>
      </c>
      <c r="L124" s="9" t="str">
        <f>IFERROR(__xludf.DUMMYFUNCTION("""COMPUTED_VALUE"""),"Giai đoạn 1: Nghiên cứu và phân tích
Xác định yêu cầu chức năng của hệ thống và phi chức năng của module.
Khảo sát các công cụ và phương pháp thực hiện tốt nhất.
Giai đoạn 2: Thiết kế hệ thống
Phân tích kiến trúc hệ thống và luồng dữ liệu.
Thiết kế sơ đồ "&amp;"cơ sở dữ liệu (CSDL) và mô hình xử lý dữ liệu hành vi.
Thiết kế giao diện người dùng (UI/UX).
Giai đoạn 3: Phát triển chức năng
Phát triển chức năng cốt lõi như nhập mã nguồn, gợi ý lỗi, phân tích sửa lỗi bằng AI.
Xây dựng các chức năng bổ trợ khác như đă"&amp;"ng nhập, đăng xuất...
Giai đoạn 4: Kiểm thử và hoàn thiện
Kiểm thử các chức năng chính của hệ thống, xây dựng Test Case, Test Requirements, thực hiện chạy thử nghiệm, ghi nhận các sự cố phát sinh trong quá trình kiểm thử.
Viết báo cáo hoàn chỉnh, chuẩn bị"&amp;" slide thuyết trình, demo sản phẩm, và tài liệu liên quan khác.")</f>
        <v>Giai đoạn 1: Nghiên cứu và phân tích
Xác định yêu cầu chức năng của hệ thống và phi chức năng của module.
Khảo sát các công cụ và phương pháp thực hiện tốt nhất.
Giai đoạn 2: Thiết kế hệ thống
Phân tích kiến trúc hệ thống và luồng dữ liệu.
Thiết kế sơ đồ cơ sở dữ liệu (CSDL) và mô hình xử lý dữ liệu hành vi.
Thiết kế giao diện người dùng (UI/UX).
Giai đoạn 3: Phát triển chức năng
Phát triển chức năng cốt lõi như nhập mã nguồn, gợi ý lỗi, phân tích sửa lỗi bằng AI.
Xây dựng các chức năng bổ trợ khác như đăng nhập, đăng xuất...
Giai đoạn 4: Kiểm thử và hoàn thiện
Kiểm thử các chức năng chính của hệ thống, xây dựng Test Case, Test Requirements, thực hiện chạy thử nghiệm, ghi nhận các sự cố phát sinh trong quá trình kiểm thử.
Viết báo cáo hoàn chỉnh, chuẩn bị slide thuyết trình, demo sản phẩm, và tài liệu liên quan khác.</v>
      </c>
      <c r="M124" s="9"/>
      <c r="N124" s="9"/>
      <c r="O124" s="9"/>
      <c r="P124" s="9"/>
      <c r="Q124" s="9" t="str">
        <f>IFERROR(__xludf.DUMMYFUNCTION("""COMPUTED_VALUE"""),"TNDHLTK22_202610515")</f>
        <v>TNDHLTK22_202610515</v>
      </c>
    </row>
    <row r="125">
      <c r="A125" s="10">
        <f>IFERROR(__xludf.DUMMYFUNCTION("""COMPUTED_VALUE"""),46023.81771787037)</f>
        <v>46023.81772</v>
      </c>
      <c r="B125" s="9" t="str">
        <f>IFERROR(__xludf.DUMMYFUNCTION("""COMPUTED_VALUE"""),"phuoczmn@gmail.com")</f>
        <v>phuoczmn@gmail.com</v>
      </c>
      <c r="C125" s="9">
        <f>IFERROR(__xludf.DUMMYFUNCTION("""COMPUTED_VALUE"""),1.2200022E8)</f>
        <v>122000220</v>
      </c>
      <c r="D125" s="9" t="str">
        <f>IFERROR(__xludf.DUMMYFUNCTION("""COMPUTED_VALUE"""),"Bùi Hữu Phước")</f>
        <v>Bùi Hữu Phước</v>
      </c>
      <c r="E125" s="9" t="str">
        <f>IFERROR(__xludf.DUMMYFUNCTION("""COMPUTED_VALUE"""),"0982675191")</f>
        <v>0982675191</v>
      </c>
      <c r="F125" s="9" t="str">
        <f>IFERROR(__xludf.DUMMYFUNCTION("""COMPUTED_VALUE"""),"22CT113")</f>
        <v>22CT113</v>
      </c>
      <c r="G125" s="9" t="str">
        <f>IFERROR(__xludf.DUMMYFUNCTION("""COMPUTED_VALUE"""),"Thực hiện đồ án tốt nghiệp")</f>
        <v>Thực hiện đồ án tốt nghiệp</v>
      </c>
      <c r="H125" s="9" t="str">
        <f>IFERROR(__xludf.DUMMYFUNCTION("""COMPUTED_VALUE"""),"Đoàn Thiện Minh")</f>
        <v>Đoàn Thiện Minh</v>
      </c>
      <c r="I125" s="9"/>
      <c r="J125" s="9" t="str">
        <f>IFERROR(__xludf.DUMMYFUNCTION("""COMPUTED_VALUE"""),"Phát hiện bệnh trên lá cây điều")</f>
        <v>Phát hiện bệnh trên lá cây điều</v>
      </c>
      <c r="K125" s="9" t="str">
        <f>IFERROR(__xludf.DUMMYFUNCTION("""COMPUTED_VALUE"""),"1 ứng dụng web có thể phát hiện bệnh trên lá điều thông qua hình ảnh hoặc video.")</f>
        <v>1 ứng dụng web có thể phát hiện bệnh trên lá điều thông qua hình ảnh hoặc video.</v>
      </c>
      <c r="L125" s="9" t="str">
        <f>IFERROR(__xludf.DUMMYFUNCTION("""COMPUTED_VALUE"""),"Nâng cấp thêm chức năng cho ứng dụng web")</f>
        <v>Nâng cấp thêm chức năng cho ứng dụng web</v>
      </c>
      <c r="M125" s="9"/>
      <c r="N125" s="9"/>
      <c r="O125" s="9"/>
      <c r="P125" s="9"/>
      <c r="Q125" s="9" t="str">
        <f>IFERROR(__xludf.DUMMYFUNCTION("""COMPUTED_VALUE"""),"TNDHLTK22_202610515")</f>
        <v>TNDHLTK22_202610515</v>
      </c>
    </row>
    <row r="126">
      <c r="A126" s="10">
        <f>IFERROR(__xludf.DUMMYFUNCTION("""COMPUTED_VALUE"""),46023.861029618056)</f>
        <v>46023.86103</v>
      </c>
      <c r="B126" s="9" t="str">
        <f>IFERROR(__xludf.DUMMYFUNCTION("""COMPUTED_VALUE"""),"kiritovsasuna135@gmail.com")</f>
        <v>kiritovsasuna135@gmail.com</v>
      </c>
      <c r="C126" s="9">
        <f>IFERROR(__xludf.DUMMYFUNCTION("""COMPUTED_VALUE"""),1.22000601E8)</f>
        <v>122000601</v>
      </c>
      <c r="D126" s="9" t="str">
        <f>IFERROR(__xludf.DUMMYFUNCTION("""COMPUTED_VALUE"""),"Nguyễn Tiến Trường")</f>
        <v>Nguyễn Tiến Trường</v>
      </c>
      <c r="E126" s="9" t="str">
        <f>IFERROR(__xludf.DUMMYFUNCTION("""COMPUTED_VALUE"""),"0335520911")</f>
        <v>0335520911</v>
      </c>
      <c r="F126" s="9" t="str">
        <f>IFERROR(__xludf.DUMMYFUNCTION("""COMPUTED_VALUE"""),"22CT111")</f>
        <v>22CT111</v>
      </c>
      <c r="G126" s="9" t="str">
        <f>IFERROR(__xludf.DUMMYFUNCTION("""COMPUTED_VALUE"""),"Thực hiện đồ án tốt nghiệp")</f>
        <v>Thực hiện đồ án tốt nghiệp</v>
      </c>
      <c r="H126" s="9" t="str">
        <f>IFERROR(__xludf.DUMMYFUNCTION("""COMPUTED_VALUE"""),"Nguyễn Vũ Duy Quang")</f>
        <v>Nguyễn Vũ Duy Quang</v>
      </c>
      <c r="I126" s="9"/>
      <c r="J126" s="9" t="str">
        <f>IFERROR(__xludf.DUMMYFUNCTION("""COMPUTED_VALUE"""),"Tích hợp Chatbot vào website giúp chốt đơn tự động")</f>
        <v>Tích hợp Chatbot vào website giúp chốt đơn tự động</v>
      </c>
      <c r="K126" s="9" t="str">
        <f>IFERROR(__xludf.DUMMYFUNCTION("""COMPUTED_VALUE"""),"Xây dựng một hệ thống chatbot AI dạng nền tảng có thể tích hợp vào nhiều website khác nhau thông qua plugin hoặc API, cho phép chatbot tự động đồng bộ dữ liệu sản phẩm từ hệ thống backend của website để tư vấn khách hàng và hỗ trợ chốt đơn.")</f>
        <v>Xây dựng một hệ thống chatbot AI dạng nền tảng có thể tích hợp vào nhiều website khác nhau thông qua plugin hoặc API, cho phép chatbot tự động đồng bộ dữ liệu sản phẩm từ hệ thống backend của website để tư vấn khách hàng và hỗ trợ chốt đơn.</v>
      </c>
      <c r="L126" s="9" t="str">
        <f>IFERROR(__xludf.DUMMYFUNCTION("""COMPUTED_VALUE"""),"Nghiên cứu các mô hình chatbot AI và giải pháp tích hợp chatbot vào website.
Phân tích yêu cầu và thiết kế kiến trúc hệ thống chatbot AI (thông qua plugin hoặc API ) .
Xây dựng cơ chế đồng bộ dữ liệu sản phẩm từ website thông qua API hoặc SDK backend.
"&amp;"Phát triển chatbot AI có khả năng tư vấn sản phẩm dựa trên dữ liệu động của website.
Tích hợp chatbot vào website mẫu và xây dựng chức năng hỗ trợ chốt đơn.
Đánh giá kết quả và hiệu quả hoạt động của hệ thống.")</f>
        <v>Nghiên cứu các mô hình chatbot AI và giải pháp tích hợp chatbot vào website.
Phân tích yêu cầu và thiết kế kiến trúc hệ thống chatbot AI (thông qua plugin hoặc API ) .
Xây dựng cơ chế đồng bộ dữ liệu sản phẩm từ website thông qua API hoặc SDK backend.
Phát triển chatbot AI có khả năng tư vấn sản phẩm dựa trên dữ liệu động của website.
Tích hợp chatbot vào website mẫu và xây dựng chức năng hỗ trợ chốt đơn.
Đánh giá kết quả và hiệu quả hoạt động của hệ thống.</v>
      </c>
      <c r="M126" s="9"/>
      <c r="N126" s="9"/>
      <c r="O126" s="9"/>
      <c r="P126" s="9"/>
      <c r="Q126" s="9" t="str">
        <f>IFERROR(__xludf.DUMMYFUNCTION("""COMPUTED_VALUE"""),"TNDHLTK22_202610515")</f>
        <v>TNDHLTK22_202610515</v>
      </c>
    </row>
    <row r="127">
      <c r="A127" s="10">
        <f>IFERROR(__xludf.DUMMYFUNCTION("""COMPUTED_VALUE"""),46023.89593063657)</f>
        <v>46023.89593</v>
      </c>
      <c r="B127" s="9" t="str">
        <f>IFERROR(__xludf.DUMMYFUNCTION("""COMPUTED_VALUE"""),"trantuanluong89@gmail.com")</f>
        <v>trantuanluong89@gmail.com</v>
      </c>
      <c r="C127" s="9">
        <f>IFERROR(__xludf.DUMMYFUNCTION("""COMPUTED_VALUE"""),1.22000776E8)</f>
        <v>122000776</v>
      </c>
      <c r="D127" s="9" t="str">
        <f>IFERROR(__xludf.DUMMYFUNCTION("""COMPUTED_VALUE"""),"Trần Tuấn Lương")</f>
        <v>Trần Tuấn Lương</v>
      </c>
      <c r="E127" s="9" t="str">
        <f>IFERROR(__xludf.DUMMYFUNCTION("""COMPUTED_VALUE"""),"0394417270")</f>
        <v>0394417270</v>
      </c>
      <c r="F127" s="9" t="str">
        <f>IFERROR(__xludf.DUMMYFUNCTION("""COMPUTED_VALUE"""),"22CT114")</f>
        <v>22CT114</v>
      </c>
      <c r="G127" s="9" t="str">
        <f>IFERROR(__xludf.DUMMYFUNCTION("""COMPUTED_VALUE"""),"Thực hiện đồ án tốt nghiệp")</f>
        <v>Thực hiện đồ án tốt nghiệp</v>
      </c>
      <c r="H127" s="9" t="str">
        <f>IFERROR(__xludf.DUMMYFUNCTION("""COMPUTED_VALUE"""),"Bùi Xuân Cảnh")</f>
        <v>Bùi Xuân Cảnh</v>
      </c>
      <c r="I127" s="9"/>
      <c r="J127" s="9" t="str">
        <f>IFERROR(__xludf.DUMMYFUNCTION("""COMPUTED_VALUE"""),"Website bán quần áo")</f>
        <v>Website bán quần áo</v>
      </c>
      <c r="K127" s="9" t="str">
        <f>IFERROR(__xludf.DUMMYFUNCTION("""COMPUTED_VALUE"""),"Xây dựng một website bán quần áo thân thiện")</f>
        <v>Xây dựng một website bán quần áo thân thiện</v>
      </c>
      <c r="L127" s="9" t="str">
        <f>IFERROR(__xludf.DUMMYFUNCTION("""COMPUTED_VALUE"""),"- Phân tích yêu cầu hệ thống: xác định đối tượng người dùng, chức năng chính (xem sản phẩm, giỏ hàng, thanh toán, tài khoản, admin). Lập danh sách chức năng chi tiết.
- Phân tích nghiệp vụ và sơ đồ hệ thống: use case, luồng xử lý mua hàng, phân quyền use"&amp;"r – admin. Hoàn thiện đặc tả yêu cầu.
- Thiết kế giao diện tổng thể bằng Figma: trang chủ, danh sách sản phẩm, chi tiết sản phẩm, giỏ hàng, đăng nhập/đăng ký.
- Hoàn thiện thiết kế UI/UX: responsive cho mobile, tablet. Chốt màu sắc, font chữ, bố cục cuố"&amp;"i cùng.
- Thiết kế cơ sở dữ liệu: bảng người dùng, sản phẩm, đơn hàng, danh mục, chi tiết đơn hàng. Lựa chọn MongoDB hoặc MySQL.
- Cài đặt môi trường phát triển: Node.js, Express, ReactJS. Khởi tạo project frontend và backend, cấu trúc thư mục.
- Xây d"&amp;"ựng backend (API): đăng ký – đăng nhập, quản lý sản phẩm, quản lý danh mục, giỏ hàng, đơn hàng.
- Hoàn thiện backend: xác thực người dùng (JWT), phân quyền admin, kiểm tra dữ liệu đầu vào, kết nối database.
- Lập trình frontend: hiển thị sản phẩm, tìm k"&amp;"iếm, lọc sản phẩm, trang chi tiết sản phẩm, giao diện giỏ hàng.
- Tích hợp frontend với backend: gọi API, xử lý đăng nhập, đặt hàng, cập nhật trạng thái đơn hàng.
- Kiểm thử hệ thống: test chức năng, sửa lỗi, tối ưu giao diện và hiệu năng. Kiểm tra trải"&amp;" nghiệm người dùng.
- Hoàn thiện sản phẩm: chỉnh sửa lần cuối, viết báo cáo, chuẩn bị thuyết trình và demo website.")</f>
        <v>- Phân tích yêu cầu hệ thống: xác định đối tượng người dùng, chức năng chính (xem sản phẩm, giỏ hàng, thanh toán, tài khoản, admin). Lập danh sách chức năng chi tiết.
- Phân tích nghiệp vụ và sơ đồ hệ thống: use case, luồng xử lý mua hàng, phân quyền user – admin. Hoàn thiện đặc tả yêu cầu.
- Thiết kế giao diện tổng thể bằng Figma: trang chủ, danh sách sản phẩm, chi tiết sản phẩm, giỏ hàng, đăng nhập/đăng ký.
- Hoàn thiện thiết kế UI/UX: responsive cho mobile, tablet. Chốt màu sắc, font chữ, bố cục cuối cùng.
- Thiết kế cơ sở dữ liệu: bảng người dùng, sản phẩm, đơn hàng, danh mục, chi tiết đơn hàng. Lựa chọn MongoDB hoặc MySQL.
- Cài đặt môi trường phát triển: Node.js, Express, ReactJS. Khởi tạo project frontend và backend, cấu trúc thư mục.
- Xây dựng backend (API): đăng ký – đăng nhập, quản lý sản phẩm, quản lý danh mục, giỏ hàng, đơn hàng.
- Hoàn thiện backend: xác thực người dùng (JWT), phân quyền admin, kiểm tra dữ liệu đầu vào, kết nối database.
- Lập trình frontend: hiển thị sản phẩm, tìm kiếm, lọc sản phẩm, trang chi tiết sản phẩm, giao diện giỏ hàng.
- Tích hợp frontend với backend: gọi API, xử lý đăng nhập, đặt hàng, cập nhật trạng thái đơn hàng.
- Kiểm thử hệ thống: test chức năng, sửa lỗi, tối ưu giao diện và hiệu năng. Kiểm tra trải nghiệm người dùng.
- Hoàn thiện sản phẩm: chỉnh sửa lần cuối, viết báo cáo, chuẩn bị thuyết trình và demo website.</v>
      </c>
      <c r="M127" s="9"/>
      <c r="N127" s="9"/>
      <c r="O127" s="9"/>
      <c r="P127" s="9"/>
      <c r="Q127" s="9" t="str">
        <f>IFERROR(__xludf.DUMMYFUNCTION("""COMPUTED_VALUE"""),"TNDHLTK22_202610515")</f>
        <v>TNDHLTK22_202610515</v>
      </c>
    </row>
    <row r="128">
      <c r="A128" s="10">
        <f>IFERROR(__xludf.DUMMYFUNCTION("""COMPUTED_VALUE"""),46023.896219884264)</f>
        <v>46023.89622</v>
      </c>
      <c r="B128" s="9" t="str">
        <f>IFERROR(__xludf.DUMMYFUNCTION("""COMPUTED_VALUE"""),"daitran03062004@gmail.com")</f>
        <v>daitran03062004@gmail.com</v>
      </c>
      <c r="C128" s="9">
        <f>IFERROR(__xludf.DUMMYFUNCTION("""COMPUTED_VALUE"""),1.22001433E8)</f>
        <v>122001433</v>
      </c>
      <c r="D128" s="9" t="str">
        <f>IFERROR(__xludf.DUMMYFUNCTION("""COMPUTED_VALUE"""),"Nguyễn Văn Đại")</f>
        <v>Nguyễn Văn Đại</v>
      </c>
      <c r="E128" s="9" t="str">
        <f>IFERROR(__xludf.DUMMYFUNCTION("""COMPUTED_VALUE"""),"0386438891")</f>
        <v>0386438891</v>
      </c>
      <c r="F128" s="9" t="str">
        <f>IFERROR(__xludf.DUMMYFUNCTION("""COMPUTED_VALUE"""),"22CT114")</f>
        <v>22CT114</v>
      </c>
      <c r="G128" s="9" t="str">
        <f>IFERROR(__xludf.DUMMYFUNCTION("""COMPUTED_VALUE"""),"Thực hiện đồ án tốt nghiệp")</f>
        <v>Thực hiện đồ án tốt nghiệp</v>
      </c>
      <c r="H128" s="9" t="str">
        <f>IFERROR(__xludf.DUMMYFUNCTION("""COMPUTED_VALUE"""),"Bùi Xuân Cảnh")</f>
        <v>Bùi Xuân Cảnh</v>
      </c>
      <c r="I128" s="9"/>
      <c r="J128" s="9" t="str">
        <f>IFERROR(__xludf.DUMMYFUNCTION("""COMPUTED_VALUE"""),"Website bán quần áo")</f>
        <v>Website bán quần áo</v>
      </c>
      <c r="K128" s="9" t="str">
        <f>IFERROR(__xludf.DUMMYFUNCTION("""COMPUTED_VALUE"""),"Xây dựng một Website bán quần áo thân thiện ")</f>
        <v>Xây dựng một Website bán quần áo thân thiện </v>
      </c>
      <c r="L128" s="9" t="str">
        <f>IFERROR(__xludf.DUMMYFUNCTION("""COMPUTED_VALUE"""),"- Phân tích yêu cầu hệ thống: xác định đối tượng người dùng, chức năng chính (xem sản phẩm, giỏ hàng, thanh toán, tài khoản, admin). Lập danh sách chức năng chi tiết.
- Phân tích nghiệp vụ và sơ đồ hệ thống: use case, luồng xử lý mua hàng, phân quyền use"&amp;"r – admin. Hoàn thiện đặc tả yêu cầu.
- Thiết kế giao diện tổng thể bằng Figma: trang chủ, danh sách sản phẩm, chi tiết sản phẩm, giỏ hàng, đăng nhập/đăng ký.
- Hoàn thiện thiết kế UI/UX: responsive cho mobile, tablet. Chốt màu sắc, font chữ, bố cục cuố"&amp;"i cùng.
- Thiết kế cơ sở dữ liệu: bảng người dùng, sản phẩm, đơn hàng, danh mục, chi tiết đơn hàng. Lựa chọn MongoDB hoặc MySQL.
- Cài đặt môi trường phát triển: Node.js, Express, ReactJS. Khởi tạo project frontend và backend, cấu trúc thư mục.
- Xây d"&amp;"ựng backend (API): đăng ký – đăng nhập, quản lý sản phẩm, quản lý danh mục, giỏ hàng, đơn hàng.
- Hoàn thiện backend: xác thực người dùng (JWT), phân quyền admin, kiểm tra dữ liệu đầu vào, kết nối database.
- Lập trình frontend: hiển thị sản phẩm, tìm k"&amp;"iếm, lọc sản phẩm, trang chi tiết sản phẩm, giao diện giỏ hàng.
- Tích hợp frontend với backend: gọi API, xử lý đăng nhập, đặt hàng, cập nhật trạng thái đơn hàng.
- Kiểm thử hệ thống: test chức năng, sửa lỗi, tối ưu giao diện và hiệu năng. Kiểm tra trải"&amp;" nghiệm người dùng.
- Hoàn thiện sản phẩm: chỉnh sửa lần cuối, viết báo cáo, chuẩn bị thuyết trình và demo website.
")</f>
        <v>- Phân tích yêu cầu hệ thống: xác định đối tượng người dùng, chức năng chính (xem sản phẩm, giỏ hàng, thanh toán, tài khoản, admin). Lập danh sách chức năng chi tiết.
- Phân tích nghiệp vụ và sơ đồ hệ thống: use case, luồng xử lý mua hàng, phân quyền user – admin. Hoàn thiện đặc tả yêu cầu.
- Thiết kế giao diện tổng thể bằng Figma: trang chủ, danh sách sản phẩm, chi tiết sản phẩm, giỏ hàng, đăng nhập/đăng ký.
- Hoàn thiện thiết kế UI/UX: responsive cho mobile, tablet. Chốt màu sắc, font chữ, bố cục cuối cùng.
- Thiết kế cơ sở dữ liệu: bảng người dùng, sản phẩm, đơn hàng, danh mục, chi tiết đơn hàng. Lựa chọn MongoDB hoặc MySQL.
- Cài đặt môi trường phát triển: Node.js, Express, ReactJS. Khởi tạo project frontend và backend, cấu trúc thư mục.
- Xây dựng backend (API): đăng ký – đăng nhập, quản lý sản phẩm, quản lý danh mục, giỏ hàng, đơn hàng.
- Hoàn thiện backend: xác thực người dùng (JWT), phân quyền admin, kiểm tra dữ liệu đầu vào, kết nối database.
- Lập trình frontend: hiển thị sản phẩm, tìm kiếm, lọc sản phẩm, trang chi tiết sản phẩm, giao diện giỏ hàng.
- Tích hợp frontend với backend: gọi API, xử lý đăng nhập, đặt hàng, cập nhật trạng thái đơn hàng.
- Kiểm thử hệ thống: test chức năng, sửa lỗi, tối ưu giao diện và hiệu năng. Kiểm tra trải nghiệm người dùng.
- Hoàn thiện sản phẩm: chỉnh sửa lần cuối, viết báo cáo, chuẩn bị thuyết trình và demo website.
</v>
      </c>
      <c r="M128" s="9"/>
      <c r="N128" s="9"/>
      <c r="O128" s="9"/>
      <c r="P128" s="9"/>
      <c r="Q128" s="9" t="str">
        <f>IFERROR(__xludf.DUMMYFUNCTION("""COMPUTED_VALUE"""),"TNDHLTK22_202610515")</f>
        <v>TNDHLTK22_202610515</v>
      </c>
    </row>
    <row r="129">
      <c r="A129" s="10">
        <f>IFERROR(__xludf.DUMMYFUNCTION("""COMPUTED_VALUE"""),46023.94630408565)</f>
        <v>46023.9463</v>
      </c>
      <c r="B129" s="9" t="str">
        <f>IFERROR(__xludf.DUMMYFUNCTION("""COMPUTED_VALUE"""),"chaugiahuy2309@gmail.com")</f>
        <v>chaugiahuy2309@gmail.com</v>
      </c>
      <c r="C129" s="9">
        <f>IFERROR(__xludf.DUMMYFUNCTION("""COMPUTED_VALUE"""),1.22001549E8)</f>
        <v>122001549</v>
      </c>
      <c r="D129" s="9" t="str">
        <f>IFERROR(__xludf.DUMMYFUNCTION("""COMPUTED_VALUE"""),"Châu Gia Huy")</f>
        <v>Châu Gia Huy</v>
      </c>
      <c r="E129" s="9" t="str">
        <f>IFERROR(__xludf.DUMMYFUNCTION("""COMPUTED_VALUE"""),"0986375505")</f>
        <v>0986375505</v>
      </c>
      <c r="F129" s="9" t="str">
        <f>IFERROR(__xludf.DUMMYFUNCTION("""COMPUTED_VALUE"""),"22CT115")</f>
        <v>22CT115</v>
      </c>
      <c r="G129" s="9" t="str">
        <f>IFERROR(__xludf.DUMMYFUNCTION("""COMPUTED_VALUE"""),"Đặc cách tốt nghiệp")</f>
        <v>Đặc cách tốt nghiệp</v>
      </c>
      <c r="H129" s="9"/>
      <c r="I129" s="9"/>
      <c r="J129" s="9"/>
      <c r="K129" s="9"/>
      <c r="L129" s="9"/>
      <c r="M129" s="9"/>
      <c r="N129" s="9">
        <f>IFERROR(__xludf.DUMMYFUNCTION("""COMPUTED_VALUE"""),2.0)</f>
        <v>2</v>
      </c>
      <c r="O129" s="9">
        <f>IFERROR(__xludf.DUMMYFUNCTION("""COMPUTED_VALUE"""),9.0)</f>
        <v>9</v>
      </c>
      <c r="P129" s="11" t="str">
        <f>IFERROR(__xludf.DUMMYFUNCTION("""COMPUTED_VALUE"""),"https://drive.google.com/open?id=18jkiar8pwiRdpoPENe32aChMxISKWqTS")</f>
        <v>https://drive.google.com/open?id=18jkiar8pwiRdpoPENe32aChMxISKWqTS</v>
      </c>
      <c r="Q129" s="9" t="str">
        <f>IFERROR(__xludf.DUMMYFUNCTION("""COMPUTED_VALUE"""),"TNDHLTK22_202610515")</f>
        <v>TNDHLTK22_202610515</v>
      </c>
    </row>
    <row r="130">
      <c r="A130" s="10">
        <f>IFERROR(__xludf.DUMMYFUNCTION("""COMPUTED_VALUE"""),46024.13957706018)</f>
        <v>46024.13958</v>
      </c>
      <c r="B130" s="9" t="str">
        <f>IFERROR(__xludf.DUMMYFUNCTION("""COMPUTED_VALUE"""),"hangocvu00@gmail.com")</f>
        <v>hangocvu00@gmail.com</v>
      </c>
      <c r="C130" s="9">
        <f>IFERROR(__xludf.DUMMYFUNCTION("""COMPUTED_VALUE"""),1.22001021E8)</f>
        <v>122001021</v>
      </c>
      <c r="D130" s="9" t="str">
        <f>IFERROR(__xludf.DUMMYFUNCTION("""COMPUTED_VALUE"""),"Đinh Quang Tuấn Anh")</f>
        <v>Đinh Quang Tuấn Anh</v>
      </c>
      <c r="E130" s="9" t="str">
        <f>IFERROR(__xludf.DUMMYFUNCTION("""COMPUTED_VALUE"""),"0353560694")</f>
        <v>0353560694</v>
      </c>
      <c r="F130" s="9" t="str">
        <f>IFERROR(__xludf.DUMMYFUNCTION("""COMPUTED_VALUE"""),"22CT112")</f>
        <v>22CT112</v>
      </c>
      <c r="G130" s="9" t="str">
        <f>IFERROR(__xludf.DUMMYFUNCTION("""COMPUTED_VALUE"""),"Thực hiện đồ án tốt nghiệp")</f>
        <v>Thực hiện đồ án tốt nghiệp</v>
      </c>
      <c r="H130" s="9" t="str">
        <f>IFERROR(__xludf.DUMMYFUNCTION("""COMPUTED_VALUE"""),"Nguyễn Minh Phúc")</f>
        <v>Nguyễn Minh Phúc</v>
      </c>
      <c r="I130" s="9"/>
      <c r="J130" s="9" t="str">
        <f>IFERROR(__xludf.DUMMYFUNCTION("""COMPUTED_VALUE"""),"Xây dựng module tìm bạn học dựa theo năng lực và sở thích")</f>
        <v>Xây dựng module tìm bạn học dựa theo năng lực và sở thích</v>
      </c>
      <c r="K130" s="9" t="str">
        <f>IFERROR(__xludf.DUMMYFUNCTION("""COMPUTED_VALUE"""),"Xây dựng một module (hệ thống) hỗ trợ người dùng kết nối với những người bạn học phù hợp nhất nhằm tối ưu hóa hiệu quả học tập và chia sẻ kiến thức.")</f>
        <v>Xây dựng một module (hệ thống) hỗ trợ người dùng kết nối với những người bạn học phù hợp nhất nhằm tối ưu hóa hiệu quả học tập và chia sẻ kiến thức.</v>
      </c>
      <c r="L130" s="9" t="str">
        <f>IFERROR(__xludf.DUMMYFUNCTION("""COMPUTED_VALUE"""),"Đồ án được triển khai qua 4 giai đoạn chính gắn liền với quy trình phát triển phần mềm:
Giai đoạn 1: Phân tích và Mô hình hóa dữ liệu
•	Xác định bộ tiêu chí:
o	Nhóm Năng lực ($C$): GPA, Kỹ năng lập trình (Web, Mobile, AI), Ngoại ngữ, Các môn đã hoàn thành"&amp;".
o	Nhóm Sở thích ($I$): Thời gian học (Sáng/Tối), Hình thức (Online/Offline), Mục tiêu (Cùng làm dự án/Cùng ôn thi).
•	Vector hóa người dùng: Chuyển đổi các thông tin trên thành dạng số học.
o	Ví dụ: Kỹ năng từ 1-5, Sở thích (Có=1, Không=0). Mỗi sinh viê"&amp;"n sẽ là một vector $n$ chiều $\mathbf{u} = [x_1, x_2, ..., x_n]$.
Giai đoạn 2: Xây dựng Backend và Cấu trúc thuật toán (Node.js)
Đây là phần trung tâm xử lý dữ liệu của đồ án:
•	Thiết kế API: Xây dựng các Endpoint bằng Express.js để tiếp nhận thông tin từ"&amp;" người dùng và trả về danh sách gợi ý.
•	Triển khai thuật toán Cosine Similarity:
o	Sử dụng thư viện toán học hoặc tự định nghĩa hàm tính toán dựa trên tích vô hướng của hai vector chia cho tích độ dài của chúng:
$$\text{similarity}(A, B) = \frac{\sum_{i="&amp;"1}^{n} A_i B_i}{\sqrt{\sum_{i=1}^{n} A_i^2} \sqrt{\sum_{i=1}^{n} B_i^2}}$$
o	Áp dụng Trọng số (Weighting): Thiết lập mức độ ưu tiên (Ví dụ: Năng lực chiếm 70%, Sở thích chiếm 30% trọng số điểm tương đồng).
Giai đoạn 3: Phát triển Giao diện người dùng (Rea"&amp;"ct.js)
•	Module quản lý Profile: Xây dựng form đăng ký năng lực và sở thích bằng React.js, đảm bảo dữ liệu được chuẩn hóa trước khi gửi về Server.
•	Module Matching Dashboard:
o	Sử dụng Hooks (useEffect, useState) để gọi API từ Node.js.
o	Hiển thị danh sá"&amp;"ch bạn học phù hợp dưới dạng thẻ (Cards) sắp xếp theo thứ tự độ tương đồng giảm dần.
o	Tích hợp bộ lọc nhanh để người dùng thay đổi tiêu chí ngay trên giao diện.
Giai đoạn 4: Kiểm thử và Đánh giá hiệu năng
•	Kiểm thử thuật toán: Sử dụng bộ dữ liệu mẫu (Du"&amp;"mmy data) khoảng 50-100 sinh viên để đánh giá tính chính xác của kết quả ghép cặp.
•	Kiểm thử hệ thống: Đánh giá tốc độ phản hồi của API và tính tương thích của giao diện trên các trình duyệt khác nhau.
3. Quy trình vận hành hệ thống (Workflow)
1.	Người"&amp;" dùng (Frontend - React.js): Cung cấp thông tin năng lực và sở thích qua giao diện.
2.	Máy chủ (Backend - Node.js): * Lưu trữ thông tin vào Cơ sở dữ liệu.
o	Khi có yêu cầu tìm bạn, lấy dữ liệu toàn bộ người dùng và thực hiện tính toán Cosine Similarity so"&amp;" với người dùng hiện tại.
o	Sắp xếp danh sách dựa trên điểm số (Score) từ $0 \rightarrow 1$.
3.	Kết quả: Node.js trả về chuỗi JSON chứa danh sách Top bạn học. React.js nhận dữ liệu và Render lên màn hình.
")</f>
        <v>Đồ án được triển khai qua 4 giai đoạn chính gắn liền với quy trình phát triển phần mềm:
Giai đoạn 1: Phân tích và Mô hình hóa dữ liệu
•	Xác định bộ tiêu chí:
o	Nhóm Năng lực ($C$): GPA, Kỹ năng lập trình (Web, Mobile, AI), Ngoại ngữ, Các môn đã hoàn thành.
o	Nhóm Sở thích ($I$): Thời gian học (Sáng/Tối), Hình thức (Online/Offline), Mục tiêu (Cùng làm dự án/Cùng ôn thi).
•	Vector hóa người dùng: Chuyển đổi các thông tin trên thành dạng số học.
o	Ví dụ: Kỹ năng từ 1-5, Sở thích (Có=1, Không=0). Mỗi sinh viên sẽ là một vector $n$ chiều $\mathbf{u} = [x_1, x_2, ..., x_n]$.
Giai đoạn 2: Xây dựng Backend và Cấu trúc thuật toán (Node.js)
Đây là phần trung tâm xử lý dữ liệu của đồ án:
•	Thiết kế API: Xây dựng các Endpoint bằng Express.js để tiếp nhận thông tin từ người dùng và trả về danh sách gợi ý.
•	Triển khai thuật toán Cosine Similarity:
o	Sử dụng thư viện toán học hoặc tự định nghĩa hàm tính toán dựa trên tích vô hướng của hai vector chia cho tích độ dài của chúng:
$$\text{similarity}(A, B) = \frac{\sum_{i=1}^{n} A_i B_i}{\sqrt{\sum_{i=1}^{n} A_i^2} \sqrt{\sum_{i=1}^{n} B_i^2}}$$
o	Áp dụng Trọng số (Weighting): Thiết lập mức độ ưu tiên (Ví dụ: Năng lực chiếm 70%, Sở thích chiếm 30% trọng số điểm tương đồng).
Giai đoạn 3: Phát triển Giao diện người dùng (React.js)
•	Module quản lý Profile: Xây dựng form đăng ký năng lực và sở thích bằng React.js, đảm bảo dữ liệu được chuẩn hóa trước khi gửi về Server.
•	Module Matching Dashboard:
o	Sử dụng Hooks (useEffect, useState) để gọi API từ Node.js.
o	Hiển thị danh sách bạn học phù hợp dưới dạng thẻ (Cards) sắp xếp theo thứ tự độ tương đồng giảm dần.
o	Tích hợp bộ lọc nhanh để người dùng thay đổi tiêu chí ngay trên giao diện.
Giai đoạn 4: Kiểm thử và Đánh giá hiệu năng
•	Kiểm thử thuật toán: Sử dụng bộ dữ liệu mẫu (Dummy data) khoảng 50-100 sinh viên để đánh giá tính chính xác của kết quả ghép cặp.
•	Kiểm thử hệ thống: Đánh giá tốc độ phản hồi của API và tính tương thích của giao diện trên các trình duyệt khác nhau.
3. Quy trình vận hành hệ thống (Workflow)
1.	Người dùng (Frontend - React.js): Cung cấp thông tin năng lực và sở thích qua giao diện.
2.	Máy chủ (Backend - Node.js): * Lưu trữ thông tin vào Cơ sở dữ liệu.
o	Khi có yêu cầu tìm bạn, lấy dữ liệu toàn bộ người dùng và thực hiện tính toán Cosine Similarity so với người dùng hiện tại.
o	Sắp xếp danh sách dựa trên điểm số (Score) từ $0 \rightarrow 1$.
3.	Kết quả: Node.js trả về chuỗi JSON chứa danh sách Top bạn học. React.js nhận dữ liệu và Render lên màn hình.
</v>
      </c>
      <c r="M130" s="9"/>
      <c r="N130" s="9"/>
      <c r="O130" s="9"/>
      <c r="P130" s="9"/>
      <c r="Q130" s="9" t="str">
        <f>IFERROR(__xludf.DUMMYFUNCTION("""COMPUTED_VALUE"""),"TNDHLTK22_202610515")</f>
        <v>TNDHLTK22_202610515</v>
      </c>
    </row>
    <row r="131">
      <c r="A131" s="10">
        <f>IFERROR(__xludf.DUMMYFUNCTION("""COMPUTED_VALUE"""),46024.32027909722)</f>
        <v>46024.32028</v>
      </c>
      <c r="B131" s="9" t="str">
        <f>IFERROR(__xludf.DUMMYFUNCTION("""COMPUTED_VALUE"""),"nguyenngocthy5844@gmail.com")</f>
        <v>nguyenngocthy5844@gmail.com</v>
      </c>
      <c r="C131" s="9">
        <f>IFERROR(__xludf.DUMMYFUNCTION("""COMPUTED_VALUE"""),1.22000002E8)</f>
        <v>122000002</v>
      </c>
      <c r="D131" s="9" t="str">
        <f>IFERROR(__xludf.DUMMYFUNCTION("""COMPUTED_VALUE"""),"Nguyễn Hoàng Quốc")</f>
        <v>Nguyễn Hoàng Quốc</v>
      </c>
      <c r="E131" s="9" t="str">
        <f>IFERROR(__xludf.DUMMYFUNCTION("""COMPUTED_VALUE"""),"0918450647")</f>
        <v>0918450647</v>
      </c>
      <c r="F131" s="9" t="str">
        <f>IFERROR(__xludf.DUMMYFUNCTION("""COMPUTED_VALUE"""),"22CT111")</f>
        <v>22CT111</v>
      </c>
      <c r="G131" s="9" t="str">
        <f>IFERROR(__xludf.DUMMYFUNCTION("""COMPUTED_VALUE"""),"Thực hiện đồ án tốt nghiệp")</f>
        <v>Thực hiện đồ án tốt nghiệp</v>
      </c>
      <c r="H131" s="9" t="str">
        <f>IFERROR(__xludf.DUMMYFUNCTION("""COMPUTED_VALUE"""),"Nguyễn Vũ Duy Quang")</f>
        <v>Nguyễn Vũ Duy Quang</v>
      </c>
      <c r="I131" s="9"/>
      <c r="J131" s="9" t="str">
        <f>IFERROR(__xludf.DUMMYFUNCTION("""COMPUTED_VALUE"""),"Tích hợp Chatbot vào website giúp chốt đơn tự động")</f>
        <v>Tích hợp Chatbot vào website giúp chốt đơn tự động</v>
      </c>
      <c r="K131" s="9" t="str">
        <f>IFERROR(__xludf.DUMMYFUNCTION("""COMPUTED_VALUE"""),"Xây dựng một hệ thống chatbot AI dạng nền tảng có thể tích hợp vào nhiều website khác nhau thông qua plugin hoặc API, cho phép chatbot tự động đồng bộ dữ liệu sản phẩm từ hệ thống backend của website để tư vấn khách hàng và hỗ trợ chốt đơn.")</f>
        <v>Xây dựng một hệ thống chatbot AI dạng nền tảng có thể tích hợp vào nhiều website khác nhau thông qua plugin hoặc API, cho phép chatbot tự động đồng bộ dữ liệu sản phẩm từ hệ thống backend của website để tư vấn khách hàng và hỗ trợ chốt đơn.</v>
      </c>
      <c r="L131" s="9" t="str">
        <f>IFERROR(__xludf.DUMMYFUNCTION("""COMPUTED_VALUE"""),"Nghiên cứu các mô hình chatbot AI và giải pháp tích hợp chatbot vào website.
Phân tích yêu cầu và thiết kế kiến trúc hệ thống chatbot AI.
Xây dựng cơ chế đồng bộ dữ liệu sản phẩm từ website thông qua API hoặc SDK backend.
Phát triển chatbot AI có khả n"&amp;"ăng tư vấn sản phẩm dựa trên dữ liệu động của website.
Tích hợp chatbot vào website mẫu và xây dựng chức năng hỗ trợ chốt đơn.
Đánh giá kết quả và hiệu quả hoạt động của hệ thống.")</f>
        <v>Nghiên cứu các mô hình chatbot AI và giải pháp tích hợp chatbot vào website.
Phân tích yêu cầu và thiết kế kiến trúc hệ thống chatbot AI.
Xây dựng cơ chế đồng bộ dữ liệu sản phẩm từ website thông qua API hoặc SDK backend.
Phát triển chatbot AI có khả năng tư vấn sản phẩm dựa trên dữ liệu động của website.
Tích hợp chatbot vào website mẫu và xây dựng chức năng hỗ trợ chốt đơn.
Đánh giá kết quả và hiệu quả hoạt động của hệ thống.</v>
      </c>
      <c r="M131" s="9"/>
      <c r="N131" s="9"/>
      <c r="O131" s="9"/>
      <c r="P131" s="9"/>
      <c r="Q131" s="9" t="str">
        <f>IFERROR(__xludf.DUMMYFUNCTION("""COMPUTED_VALUE"""),"TNDHLTK22_202610515")</f>
        <v>TNDHLTK22_202610515</v>
      </c>
    </row>
    <row r="132">
      <c r="A132" s="10">
        <f>IFERROR(__xludf.DUMMYFUNCTION("""COMPUTED_VALUE"""),46024.356701956014)</f>
        <v>46024.3567</v>
      </c>
      <c r="B132" s="9" t="str">
        <f>IFERROR(__xludf.DUMMYFUNCTION("""COMPUTED_VALUE"""),"nguyenthituongvy28072004@gmail.com")</f>
        <v>nguyenthituongvy28072004@gmail.com</v>
      </c>
      <c r="C132" s="9">
        <f>IFERROR(__xludf.DUMMYFUNCTION("""COMPUTED_VALUE"""),1.22001471E8)</f>
        <v>122001471</v>
      </c>
      <c r="D132" s="9" t="str">
        <f>IFERROR(__xludf.DUMMYFUNCTION("""COMPUTED_VALUE"""),"Nguyễn Thị Tường Vy")</f>
        <v>Nguyễn Thị Tường Vy</v>
      </c>
      <c r="E132" s="9" t="str">
        <f>IFERROR(__xludf.DUMMYFUNCTION("""COMPUTED_VALUE"""),"0375931355")</f>
        <v>0375931355</v>
      </c>
      <c r="F132" s="9" t="str">
        <f>IFERROR(__xludf.DUMMYFUNCTION("""COMPUTED_VALUE"""),"22CT115")</f>
        <v>22CT115</v>
      </c>
      <c r="G132" s="9" t="str">
        <f>IFERROR(__xludf.DUMMYFUNCTION("""COMPUTED_VALUE"""),"Thực hiện đồ án tốt nghiệp")</f>
        <v>Thực hiện đồ án tốt nghiệp</v>
      </c>
      <c r="H132" s="9" t="str">
        <f>IFERROR(__xludf.DUMMYFUNCTION("""COMPUTED_VALUE"""),"Nguyễn Vũ Thiên Phúc")</f>
        <v>Nguyễn Vũ Thiên Phúc</v>
      </c>
      <c r="I132" s="9"/>
      <c r="J132" s="9" t="str">
        <f>IFERROR(__xludf.DUMMYFUNCTION("""COMPUTED_VALUE"""),"XÂY DỰNG HỆ THỐNG ĐIỂM DANH TỰ ĐỘNG BẰNG WIFI")</f>
        <v>XÂY DỰNG HỆ THỐNG ĐIỂM DANH TỰ ĐỘNG BẰNG WIFI</v>
      </c>
      <c r="K132" s="9" t="str">
        <f>IFERROR(__xludf.DUMMYFUNCTION("""COMPUTED_VALUE"""),"Cải tiến hệ thống và áp dụng thực tế")</f>
        <v>Cải tiến hệ thống và áp dụng thực tế</v>
      </c>
      <c r="L132" s="9" t="str">
        <f>IFERROR(__xludf.DUMMYFUNCTION("""COMPUTED_VALUE"""),"Cải tiến hệ thống và áp dụng thực tế")</f>
        <v>Cải tiến hệ thống và áp dụng thực tế</v>
      </c>
      <c r="M132" s="9"/>
      <c r="N132" s="9"/>
      <c r="O132" s="9"/>
      <c r="P132" s="9"/>
      <c r="Q132" s="9" t="str">
        <f>IFERROR(__xludf.DUMMYFUNCTION("""COMPUTED_VALUE"""),"TNDHLTK22_202610515")</f>
        <v>TNDHLTK22_202610515</v>
      </c>
    </row>
    <row r="133">
      <c r="A133" s="10">
        <f>IFERROR(__xludf.DUMMYFUNCTION("""COMPUTED_VALUE"""),46024.36080347223)</f>
        <v>46024.3608</v>
      </c>
      <c r="B133" s="9" t="str">
        <f>IFERROR(__xludf.DUMMYFUNCTION("""COMPUTED_VALUE"""),"nguyetai.010104@gmail.com")</f>
        <v>nguyetai.010104@gmail.com</v>
      </c>
      <c r="C133" s="9">
        <f>IFERROR(__xludf.DUMMYFUNCTION("""COMPUTED_VALUE"""),1.22000971E8)</f>
        <v>122000971</v>
      </c>
      <c r="D133" s="9" t="str">
        <f>IFERROR(__xludf.DUMMYFUNCTION("""COMPUTED_VALUE"""),"Nguyễn Trung Tài")</f>
        <v>Nguyễn Trung Tài</v>
      </c>
      <c r="E133" s="9" t="str">
        <f>IFERROR(__xludf.DUMMYFUNCTION("""COMPUTED_VALUE"""),"0865667704")</f>
        <v>0865667704</v>
      </c>
      <c r="F133" s="9" t="str">
        <f>IFERROR(__xludf.DUMMYFUNCTION("""COMPUTED_VALUE"""),"22CT113")</f>
        <v>22CT113</v>
      </c>
      <c r="G133" s="9" t="str">
        <f>IFERROR(__xludf.DUMMYFUNCTION("""COMPUTED_VALUE"""),"Thực hiện đồ án tốt nghiệp")</f>
        <v>Thực hiện đồ án tốt nghiệp</v>
      </c>
      <c r="H133" s="9" t="str">
        <f>IFERROR(__xludf.DUMMYFUNCTION("""COMPUTED_VALUE"""),"Nguyễn Vũ Thiên Phúc")</f>
        <v>Nguyễn Vũ Thiên Phúc</v>
      </c>
      <c r="I133" s="9"/>
      <c r="J133" s="9" t="str">
        <f>IFERROR(__xludf.DUMMYFUNCTION("""COMPUTED_VALUE"""),"XÂY DỰNG HỆ THỐNG ĐIỂM DANH TỰ ĐỘNG BẰNG WIFI")</f>
        <v>XÂY DỰNG HỆ THỐNG ĐIỂM DANH TỰ ĐỘNG BẰNG WIFI</v>
      </c>
      <c r="K133" s="9" t="str">
        <f>IFERROR(__xludf.DUMMYFUNCTION("""COMPUTED_VALUE"""),"Cải tiến hệ thống và áp dụng thực tế")</f>
        <v>Cải tiến hệ thống và áp dụng thực tế</v>
      </c>
      <c r="L133" s="9" t="str">
        <f>IFERROR(__xludf.DUMMYFUNCTION("""COMPUTED_VALUE"""),"Cải tiến hệ thống và áp dụng thực tế")</f>
        <v>Cải tiến hệ thống và áp dụng thực tế</v>
      </c>
      <c r="M133" s="9"/>
      <c r="N133" s="9"/>
      <c r="O133" s="9"/>
      <c r="P133" s="9"/>
      <c r="Q133" s="9" t="str">
        <f>IFERROR(__xludf.DUMMYFUNCTION("""COMPUTED_VALUE"""),"TNDHLTK22_202610515")</f>
        <v>TNDHLTK22_202610515</v>
      </c>
    </row>
    <row r="134">
      <c r="A134" s="10">
        <f>IFERROR(__xludf.DUMMYFUNCTION("""COMPUTED_VALUE"""),46024.38628777778)</f>
        <v>46024.38629</v>
      </c>
      <c r="B134" s="9" t="str">
        <f>IFERROR(__xludf.DUMMYFUNCTION("""COMPUTED_VALUE"""),"thanhtai16012004@gmail.com")</f>
        <v>thanhtai16012004@gmail.com</v>
      </c>
      <c r="C134" s="9">
        <f>IFERROR(__xludf.DUMMYFUNCTION("""COMPUTED_VALUE"""),1.22000814E8)</f>
        <v>122000814</v>
      </c>
      <c r="D134" s="9" t="str">
        <f>IFERROR(__xludf.DUMMYFUNCTION("""COMPUTED_VALUE"""),"Nguyễn Thành Tài")</f>
        <v>Nguyễn Thành Tài</v>
      </c>
      <c r="E134" s="9" t="str">
        <f>IFERROR(__xludf.DUMMYFUNCTION("""COMPUTED_VALUE"""),"0918180969")</f>
        <v>0918180969</v>
      </c>
      <c r="F134" s="9" t="str">
        <f>IFERROR(__xludf.DUMMYFUNCTION("""COMPUTED_VALUE"""),"22CT113")</f>
        <v>22CT113</v>
      </c>
      <c r="G134" s="9" t="str">
        <f>IFERROR(__xludf.DUMMYFUNCTION("""COMPUTED_VALUE"""),"Thực hiện đồ án tốt nghiệp")</f>
        <v>Thực hiện đồ án tốt nghiệp</v>
      </c>
      <c r="H134" s="9" t="str">
        <f>IFERROR(__xludf.DUMMYFUNCTION("""COMPUTED_VALUE"""),"Hồ Ngọc Hoàng Long")</f>
        <v>Hồ Ngọc Hoàng Long</v>
      </c>
      <c r="I134" s="9"/>
      <c r="J134" s="9" t="str">
        <f>IFERROR(__xludf.DUMMYFUNCTION("""COMPUTED_VALUE"""),"SmartBuildAI - Hệ thống quản lí cửa hàng VLXD thông minh")</f>
        <v>SmartBuildAI - Hệ thống quản lí cửa hàng VLXD thông minh</v>
      </c>
      <c r="K134" s="9" t="str">
        <f>IFERROR(__xludf.DUMMYFUNCTION("""COMPUTED_VALUE"""),"Mục tiêu của đề tài này là xây dựng một nền tảng thương mại điện tử vật liệu xây dựng thông minh dành cho các doanh nghiệp vừa và nhỏ (SMEs) tại Việt Nam")</f>
        <v>Mục tiêu của đề tài này là xây dựng một nền tảng thương mại điện tử vật liệu xây dựng thông minh dành cho các doanh nghiệp vừa và nhỏ (SMEs) tại Việt Nam</v>
      </c>
      <c r="L134" s="9" t="str">
        <f>IFERROR(__xludf.DUMMYFUNCTION("""COMPUTED_VALUE"""),"1. Quản lý công nợ
Quản lý công nợ, hạn mức, tự động chặn đơn quá hạn
2. Nhập hàng Thông minh
Quét tồn kho → gợi ý nhập → đề xuất NCC → duyệt &amp; đặt hàng
3. Kênh Môi giới Thi công
Kết nối người mua với nhà thầu đã xác thực, báo giá trực tuyến
4. AI Phân tí"&amp;"ch Bản vẽ Nhà
Upload bản vẽ → gợi ý vật liệu &amp; số lượng → 1 click thêm giỏ
5. Giá B2B Đa cấp &amp; Dự án
Giá riêng cho khách lẻ – thầu – đại lý, theo hợp đồng/dự án")</f>
        <v>1. Quản lý công nợ
Quản lý công nợ, hạn mức, tự động chặn đơn quá hạn
2. Nhập hàng Thông minh
Quét tồn kho → gợi ý nhập → đề xuất NCC → duyệt &amp; đặt hàng
3. Kênh Môi giới Thi công
Kết nối người mua với nhà thầu đã xác thực, báo giá trực tuyến
4. AI Phân tích Bản vẽ Nhà
Upload bản vẽ → gợi ý vật liệu &amp; số lượng → 1 click thêm giỏ
5. Giá B2B Đa cấp &amp; Dự án
Giá riêng cho khách lẻ – thầu – đại lý, theo hợp đồng/dự án</v>
      </c>
      <c r="M134" s="9"/>
      <c r="N134" s="9"/>
      <c r="O134" s="9"/>
      <c r="P134" s="9"/>
      <c r="Q134" s="9" t="str">
        <f>IFERROR(__xludf.DUMMYFUNCTION("""COMPUTED_VALUE"""),"TNDHLTK22_202610515")</f>
        <v>TNDHLTK22_202610515</v>
      </c>
    </row>
    <row r="135">
      <c r="A135" s="10">
        <f>IFERROR(__xludf.DUMMYFUNCTION("""COMPUTED_VALUE"""),46024.40078611111)</f>
        <v>46024.40079</v>
      </c>
      <c r="B135" s="9" t="str">
        <f>IFERROR(__xludf.DUMMYFUNCTION("""COMPUTED_VALUE"""),"huong27082004@gmail.com")</f>
        <v>huong27082004@gmail.com</v>
      </c>
      <c r="C135" s="9">
        <f>IFERROR(__xludf.DUMMYFUNCTION("""COMPUTED_VALUE"""),1.22000611E8)</f>
        <v>122000611</v>
      </c>
      <c r="D135" s="9" t="str">
        <f>IFERROR(__xludf.DUMMYFUNCTION("""COMPUTED_VALUE"""),"Đinh Thị Thanh Hương")</f>
        <v>Đinh Thị Thanh Hương</v>
      </c>
      <c r="E135" s="9" t="str">
        <f>IFERROR(__xludf.DUMMYFUNCTION("""COMPUTED_VALUE"""),"0373681914")</f>
        <v>0373681914</v>
      </c>
      <c r="F135" s="9" t="str">
        <f>IFERROR(__xludf.DUMMYFUNCTION("""COMPUTED_VALUE"""),"22EC111")</f>
        <v>22EC111</v>
      </c>
      <c r="G135" s="9" t="str">
        <f>IFERROR(__xludf.DUMMYFUNCTION("""COMPUTED_VALUE"""),"Thực hiện đồ án tốt nghiệp")</f>
        <v>Thực hiện đồ án tốt nghiệp</v>
      </c>
      <c r="H135" s="9" t="str">
        <f>IFERROR(__xludf.DUMMYFUNCTION("""COMPUTED_VALUE"""),"Bùi Thị Thu Trang")</f>
        <v>Bùi Thị Thu Trang</v>
      </c>
      <c r="I135" s="9"/>
      <c r="J135" s="9" t="str">
        <f>IFERROR(__xludf.DUMMYFUNCTION("""COMPUTED_VALUE"""),"Xây dựng website thương mại điện tử cho shop thời trang trẻ em")</f>
        <v>Xây dựng website thương mại điện tử cho shop thời trang trẻ em</v>
      </c>
      <c r="K135" s="9" t="str">
        <f>IFERROR(__xludf.DUMMYFUNCTION("""COMPUTED_VALUE"""),"Nghiên cứu thực trạng hoạt động bán hàng trực tuyến của shop thời trang trẻ em
Đề xuất mô hình thương mại điện tử phù hợp nhằm hỗ trợ hoạt động kinh doanh của shop
Thiết kế quy trình bán hàng, thanh toán và giao nhận trong thương mại điện tử
Triển khai th"&amp;"ử nghiệm website bán hàng nhằm minh họa tính khả thi của mô hình đề xuất")</f>
        <v>Nghiên cứu thực trạng hoạt động bán hàng trực tuyến của shop thời trang trẻ em
Đề xuất mô hình thương mại điện tử phù hợp nhằm hỗ trợ hoạt động kinh doanh của shop
Thiết kế quy trình bán hàng, thanh toán và giao nhận trong thương mại điện tử
Triển khai thử nghiệm website bán hàng nhằm minh họa tính khả thi của mô hình đề xuất</v>
      </c>
      <c r="L135" s="9" t="str">
        <f>IFERROR(__xludf.DUMMYFUNCTION("""COMPUTED_VALUE"""),"Tổng quan về thương mại điện tử và các mô hình thương mại điện tử phổ biến
Khảo sát và phân tích thực trạng kinh doanh của shop thời trang trẻ em
Phân tích nhu cầu mua sắm trực tuyến của khách hàng đối với sản phẩm thời trang trẻ em
Đề xuất mô hình thương"&amp;" mại điện tử phù hợp cho shop
Thiết kế quy trình xử lý đơn hàng, thanh toán và giao hàng
Xây dựng website bán hàng demo và đánh giá hiệu quả mô hình")</f>
        <v>Tổng quan về thương mại điện tử và các mô hình thương mại điện tử phổ biến
Khảo sát và phân tích thực trạng kinh doanh của shop thời trang trẻ em
Phân tích nhu cầu mua sắm trực tuyến của khách hàng đối với sản phẩm thời trang trẻ em
Đề xuất mô hình thương mại điện tử phù hợp cho shop
Thiết kế quy trình xử lý đơn hàng, thanh toán và giao hàng
Xây dựng website bán hàng demo và đánh giá hiệu quả mô hình</v>
      </c>
      <c r="M135" s="9"/>
      <c r="N135" s="9"/>
      <c r="O135" s="9"/>
      <c r="P135" s="9"/>
      <c r="Q135" s="9" t="str">
        <f>IFERROR(__xludf.DUMMYFUNCTION("""COMPUTED_VALUE"""),"TNDHLTK22_202610515")</f>
        <v>TNDHLTK22_202610515</v>
      </c>
    </row>
    <row r="136">
      <c r="A136" s="10">
        <f>IFERROR(__xludf.DUMMYFUNCTION("""COMPUTED_VALUE"""),46024.51515449074)</f>
        <v>46024.51515</v>
      </c>
      <c r="B136" s="9" t="str">
        <f>IFERROR(__xludf.DUMMYFUNCTION("""COMPUTED_VALUE"""),"chauquy6204@gmail.com")</f>
        <v>chauquy6204@gmail.com</v>
      </c>
      <c r="C136" s="9">
        <f>IFERROR(__xludf.DUMMYFUNCTION("""COMPUTED_VALUE"""),1.2200049E8)</f>
        <v>122000490</v>
      </c>
      <c r="D136" s="9" t="str">
        <f>IFERROR(__xludf.DUMMYFUNCTION("""COMPUTED_VALUE"""),"Trần Châu Quý")</f>
        <v>Trần Châu Quý</v>
      </c>
      <c r="E136" s="9" t="str">
        <f>IFERROR(__xludf.DUMMYFUNCTION("""COMPUTED_VALUE"""),"0908998503")</f>
        <v>0908998503</v>
      </c>
      <c r="F136" s="9" t="str">
        <f>IFERROR(__xludf.DUMMYFUNCTION("""COMPUTED_VALUE"""),"22CT111")</f>
        <v>22CT111</v>
      </c>
      <c r="G136" s="9" t="str">
        <f>IFERROR(__xludf.DUMMYFUNCTION("""COMPUTED_VALUE"""),"Thực hiện đồ án tốt nghiệp")</f>
        <v>Thực hiện đồ án tốt nghiệp</v>
      </c>
      <c r="H136" s="9" t="str">
        <f>IFERROR(__xludf.DUMMYFUNCTION("""COMPUTED_VALUE"""),"Nguyễn Vũ Thiên Phúc")</f>
        <v>Nguyễn Vũ Thiên Phúc</v>
      </c>
      <c r="I136" s="9" t="str">
        <f>IFERROR(__xludf.DUMMYFUNCTION("""COMPUTED_VALUE"""),"Nguyễn Vũ Thiên Phúc")</f>
        <v>Nguyễn Vũ Thiên Phúc</v>
      </c>
      <c r="J136" s="9" t="str">
        <f>IFERROR(__xludf.DUMMYFUNCTION("""COMPUTED_VALUE"""),"Xây dựng kịch bản mô phỏng CVE Wordpress 2016 - 2025 ")</f>
        <v>Xây dựng kịch bản mô phỏng CVE Wordpress 2016 - 2025 </v>
      </c>
      <c r="K136" s="9" t="str">
        <f>IFERROR(__xludf.DUMMYFUNCTION("""COMPUTED_VALUE"""),"Tái hiện lại kỹ thuật tấn công để nghiên cứu và học tập.
Xây dựng các biện pháp ngăn chặn, phòng chống. ")</f>
        <v>Tái hiện lại kỹ thuật tấn công để nghiên cứu và học tập.
Xây dựng các biện pháp ngăn chặn, phòng chống. </v>
      </c>
      <c r="L136" s="9" t="str">
        <f>IFERROR(__xludf.DUMMYFUNCTION("""COMPUTED_VALUE"""),"Tìm hiểu các kỹ thuật CVE qua trang web uy tín như cve.org, cvedetails.com, cyberjustu.io,...
Viết chi tiết kịch bản mô phỏng tấn công.
Đề xuất phương pháp phòng thủ.
Tiến hành mô phỏng theo kịch bản và ghi lại số liệu kỹ thuật.
Viết báo cáo khoa học về c"&amp;"ác CVE đã thực hiện.
Thiết kế slide báo cáo đề tài tốt nghiệp.")</f>
        <v>Tìm hiểu các kỹ thuật CVE qua trang web uy tín như cve.org, cvedetails.com, cyberjustu.io,...
Viết chi tiết kịch bản mô phỏng tấn công.
Đề xuất phương pháp phòng thủ.
Tiến hành mô phỏng theo kịch bản và ghi lại số liệu kỹ thuật.
Viết báo cáo khoa học về các CVE đã thực hiện.
Thiết kế slide báo cáo đề tài tốt nghiệp.</v>
      </c>
      <c r="M136" s="9"/>
      <c r="N136" s="9"/>
      <c r="O136" s="9"/>
      <c r="P136" s="9"/>
      <c r="Q136" s="9" t="str">
        <f>IFERROR(__xludf.DUMMYFUNCTION("""COMPUTED_VALUE"""),"TNDHLTK22_202610515")</f>
        <v>TNDHLTK22_202610515</v>
      </c>
    </row>
    <row r="137">
      <c r="A137" s="10">
        <f>IFERROR(__xludf.DUMMYFUNCTION("""COMPUTED_VALUE"""),46024.51544778935)</f>
        <v>46024.51545</v>
      </c>
      <c r="B137" s="9" t="str">
        <f>IFERROR(__xludf.DUMMYFUNCTION("""COMPUTED_VALUE"""),"giathoaipham@gmail.com")</f>
        <v>giathoaipham@gmail.com</v>
      </c>
      <c r="C137" s="9">
        <f>IFERROR(__xludf.DUMMYFUNCTION("""COMPUTED_VALUE"""),1.2200052E8)</f>
        <v>122000520</v>
      </c>
      <c r="D137" s="9" t="str">
        <f>IFERROR(__xludf.DUMMYFUNCTION("""COMPUTED_VALUE"""),"Phạm Gia Thoại")</f>
        <v>Phạm Gia Thoại</v>
      </c>
      <c r="E137" s="9" t="str">
        <f>IFERROR(__xludf.DUMMYFUNCTION("""COMPUTED_VALUE"""),"0931059840")</f>
        <v>0931059840</v>
      </c>
      <c r="F137" s="9" t="str">
        <f>IFERROR(__xludf.DUMMYFUNCTION("""COMPUTED_VALUE"""),"22CT111")</f>
        <v>22CT111</v>
      </c>
      <c r="G137" s="9" t="str">
        <f>IFERROR(__xludf.DUMMYFUNCTION("""COMPUTED_VALUE"""),"Thực hiện đồ án tốt nghiệp")</f>
        <v>Thực hiện đồ án tốt nghiệp</v>
      </c>
      <c r="H137" s="9" t="str">
        <f>IFERROR(__xludf.DUMMYFUNCTION("""COMPUTED_VALUE"""),"Nguyễn Vũ Thiên Phúc")</f>
        <v>Nguyễn Vũ Thiên Phúc</v>
      </c>
      <c r="I137" s="9" t="str">
        <f>IFERROR(__xludf.DUMMYFUNCTION("""COMPUTED_VALUE"""),"Nguyễn Vũ Thiên Phúc")</f>
        <v>Nguyễn Vũ Thiên Phúc</v>
      </c>
      <c r="J137" s="9" t="str">
        <f>IFERROR(__xludf.DUMMYFUNCTION("""COMPUTED_VALUE"""),"Xây dựng kịch bản mô phỏng CVE Wordpress 2016 - 2025 ")</f>
        <v>Xây dựng kịch bản mô phỏng CVE Wordpress 2016 - 2025 </v>
      </c>
      <c r="K137" s="9" t="str">
        <f>IFERROR(__xludf.DUMMYFUNCTION("""COMPUTED_VALUE"""),"Tái hiện lại kỹ thuật tấn công để nghiên cứu và học tập.
Xây dựng các biện pháp ngăn chặn, phòng chống. ")</f>
        <v>Tái hiện lại kỹ thuật tấn công để nghiên cứu và học tập.
Xây dựng các biện pháp ngăn chặn, phòng chống. </v>
      </c>
      <c r="L137" s="9" t="str">
        <f>IFERROR(__xludf.DUMMYFUNCTION("""COMPUTED_VALUE"""),"Tìm hiểu các kỹ thuật CVE qua trang web uy tín như cve.org, cvedetails.com, cyberjustu.io,...
Viết chi tiết kịch bản mô phỏng tấn công.
Đề xuất phương pháp phòng thủ.
Tiến hành mô phỏng theo kịch bản và ghi lại số liệu kỹ thuật.
Viết báo cáo khoa học về c"&amp;"ác CVE đã thực hiện.
Thiết kế slide báo cáo đề tài tốt nghiệp.")</f>
        <v>Tìm hiểu các kỹ thuật CVE qua trang web uy tín như cve.org, cvedetails.com, cyberjustu.io,...
Viết chi tiết kịch bản mô phỏng tấn công.
Đề xuất phương pháp phòng thủ.
Tiến hành mô phỏng theo kịch bản và ghi lại số liệu kỹ thuật.
Viết báo cáo khoa học về các CVE đã thực hiện.
Thiết kế slide báo cáo đề tài tốt nghiệp.</v>
      </c>
      <c r="M137" s="9"/>
      <c r="N137" s="9"/>
      <c r="O137" s="9"/>
      <c r="P137" s="9"/>
      <c r="Q137" s="9" t="str">
        <f>IFERROR(__xludf.DUMMYFUNCTION("""COMPUTED_VALUE"""),"TNDHLTK22_202610515")</f>
        <v>TNDHLTK22_202610515</v>
      </c>
    </row>
    <row r="138">
      <c r="A138" s="10">
        <f>IFERROR(__xludf.DUMMYFUNCTION("""COMPUTED_VALUE"""),46024.51911333333)</f>
        <v>46024.51911</v>
      </c>
      <c r="B138" s="9" t="str">
        <f>IFERROR(__xludf.DUMMYFUNCTION("""COMPUTED_VALUE"""),"phucnvt@lhu.edu.vn")</f>
        <v>phucnvt@lhu.edu.vn</v>
      </c>
      <c r="C138" s="9">
        <f>IFERROR(__xludf.DUMMYFUNCTION("""COMPUTED_VALUE"""),1.22001109E8)</f>
        <v>122001109</v>
      </c>
      <c r="D138" s="9" t="str">
        <f>IFERROR(__xludf.DUMMYFUNCTION("""COMPUTED_VALUE"""),"Đỗ Viết Anh Tuấn")</f>
        <v>Đỗ Viết Anh Tuấn</v>
      </c>
      <c r="E138" s="9" t="str">
        <f>IFERROR(__xludf.DUMMYFUNCTION("""COMPUTED_VALUE"""),"0974648943")</f>
        <v>0974648943</v>
      </c>
      <c r="F138" s="9" t="str">
        <f>IFERROR(__xludf.DUMMYFUNCTION("""COMPUTED_VALUE"""),"22CT113")</f>
        <v>22CT113</v>
      </c>
      <c r="G138" s="9" t="str">
        <f>IFERROR(__xludf.DUMMYFUNCTION("""COMPUTED_VALUE"""),"Thực hiện đồ án tốt nghiệp")</f>
        <v>Thực hiện đồ án tốt nghiệp</v>
      </c>
      <c r="H138" s="9" t="str">
        <f>IFERROR(__xludf.DUMMYFUNCTION("""COMPUTED_VALUE"""),"Nguyễn Vũ Thiên Phúc")</f>
        <v>Nguyễn Vũ Thiên Phúc</v>
      </c>
      <c r="I138" s="9"/>
      <c r="J138" s="9" t="str">
        <f>IFERROR(__xludf.DUMMYFUNCTION("""COMPUTED_VALUE"""),"Liêt kê và đề xuất phương án ngăn chặn tấn công của Mysql (8.0)")</f>
        <v>Liêt kê và đề xuất phương án ngăn chặn tấn công của Mysql (8.0)</v>
      </c>
      <c r="K138" s="9" t="str">
        <f>IFERROR(__xludf.DUMMYFUNCTION("""COMPUTED_VALUE"""),"+ Nghiên cứu lý thuyết
+ Phân tích nguy cơ
+ Xây dựng giải pháp")</f>
        <v>+ Nghiên cứu lý thuyết
+ Phân tích nguy cơ
+ Xây dựng giải pháp</v>
      </c>
      <c r="L138" s="9" t="str">
        <f>IFERROR(__xludf.DUMMYFUNCTION("""COMPUTED_VALUE"""),"Tổng quan về MySQL 8.0 và An toàn thông tin
Các hình thức tấn công phổ biến vào MySQL
Đề xuất phương án ngăn chặn và Hardening MySQL 8.0
Triển khai thực nghiệm")</f>
        <v>Tổng quan về MySQL 8.0 và An toàn thông tin
Các hình thức tấn công phổ biến vào MySQL
Đề xuất phương án ngăn chặn và Hardening MySQL 8.0
Triển khai thực nghiệm</v>
      </c>
      <c r="M138" s="9"/>
      <c r="N138" s="9"/>
      <c r="O138" s="9"/>
      <c r="P138" s="9"/>
      <c r="Q138" s="9" t="str">
        <f>IFERROR(__xludf.DUMMYFUNCTION("""COMPUTED_VALUE"""),"TNDHLTK22_202610515")</f>
        <v>TNDHLTK22_202610515</v>
      </c>
    </row>
    <row r="139">
      <c r="A139" s="10">
        <f>IFERROR(__xludf.DUMMYFUNCTION("""COMPUTED_VALUE"""),46024.53162997685)</f>
        <v>46024.53163</v>
      </c>
      <c r="B139" s="9" t="str">
        <f>IFERROR(__xludf.DUMMYFUNCTION("""COMPUTED_VALUE"""),"noah15102004@gmail.com")</f>
        <v>noah15102004@gmail.com</v>
      </c>
      <c r="C139" s="9">
        <f>IFERROR(__xludf.DUMMYFUNCTION("""COMPUTED_VALUE"""),1.22001497E8)</f>
        <v>122001497</v>
      </c>
      <c r="D139" s="9" t="str">
        <f>IFERROR(__xludf.DUMMYFUNCTION("""COMPUTED_VALUE"""),"Nguyễn Nhựt Hào")</f>
        <v>Nguyễn Nhựt Hào</v>
      </c>
      <c r="E139" s="9" t="str">
        <f>IFERROR(__xludf.DUMMYFUNCTION("""COMPUTED_VALUE"""),"0392167082")</f>
        <v>0392167082</v>
      </c>
      <c r="F139" s="9" t="str">
        <f>IFERROR(__xludf.DUMMYFUNCTION("""COMPUTED_VALUE"""),"22CT115")</f>
        <v>22CT115</v>
      </c>
      <c r="G139" s="9" t="str">
        <f>IFERROR(__xludf.DUMMYFUNCTION("""COMPUTED_VALUE"""),"Thực hiện đồ án tốt nghiệp")</f>
        <v>Thực hiện đồ án tốt nghiệp</v>
      </c>
      <c r="H139" s="9" t="str">
        <f>IFERROR(__xludf.DUMMYFUNCTION("""COMPUTED_VALUE"""),"Hồ Ngọc Hoàng Long")</f>
        <v>Hồ Ngọc Hoàng Long</v>
      </c>
      <c r="I139" s="9"/>
      <c r="J139" s="9" t="str">
        <f>IFERROR(__xludf.DUMMYFUNCTION("""COMPUTED_VALUE"""),"nnhCare - Hệ thống đặt lịch khám bệnh tích hợp AI")</f>
        <v>nnhCare - Hệ thống đặt lịch khám bệnh tích hợp AI</v>
      </c>
      <c r="K139" s="9" t="str">
        <f>IFERROR(__xludf.DUMMYFUNCTION("""COMPUTED_VALUE"""),"Mục tiêu của đề tài là xây dựng một website đặt lịch khám bệnh trực tuyến tích hợp công nghệ trí tuệ nhân tạo (AI), nhằm hỗ trợ người bệnh tiếp cận dịch vụ y tế một cách thuận tiện, nhanh chóng và hiệu quả hơn.
Cụ thể, đề tài hướng đến các mục tiêu sau:
"&amp;"
Phân tích và thiết kế hệ thống website đặt lịch khám bệnh phù hợp với quy trình hoạt động thực tế của các cơ sở y tế.
Xây dựng các chức năng cốt lõi như: quản lý người dùng (bệnh nhân, bác sĩ, quản trị viên), đặt và quản lý lịch khám, quản lý thông tin "&amp;"bác sĩ, dịch vụ khám, lịch sử khám bệnh và thanh toán.
Tích hợp công nghệ AI nhằm hỗ trợ người dùng trong việc tư vấn ban đầu, gợi ý chuyên khoa phù hợp, hoặc hỗ trợ trả lời các câu hỏi thường gặp liên quan đến dịch vụ khám bệnh.
Thiết kế giao diện thân"&amp;" thiện, dễ sử dụng, đáp ứng nhu cầu của nhiều đối tượng người dùng khác nhau.
Áp dụng các kiến thức đã học về lập trình web, cơ sở dữ liệu và thiết kế hệ thống vào thực tiễn, qua đó nâng cao kỹ năng phân tích, thiết kế và triển khai một hệ thống phần mềm"&amp;" hoàn chỉnh.
Thông qua đề tài, sinh viên có cơ hội tiếp cận mô hình hệ thống y tế số, đồng thời tạo ra một sản phẩm có tính ứng dụng thực tế cao, góp phần nâng cao chất lượng dịch vụ chăm sóc sức khỏe.")</f>
        <v>Mục tiêu của đề tài là xây dựng một website đặt lịch khám bệnh trực tuyến tích hợp công nghệ trí tuệ nhân tạo (AI), nhằm hỗ trợ người bệnh tiếp cận dịch vụ y tế một cách thuận tiện, nhanh chóng và hiệu quả hơn.
Cụ thể, đề tài hướng đến các mục tiêu sau:
Phân tích và thiết kế hệ thống website đặt lịch khám bệnh phù hợp với quy trình hoạt động thực tế của các cơ sở y tế.
Xây dựng các chức năng cốt lõi như: quản lý người dùng (bệnh nhân, bác sĩ, quản trị viên), đặt và quản lý lịch khám, quản lý thông tin bác sĩ, dịch vụ khám, lịch sử khám bệnh và thanh toán.
Tích hợp công nghệ AI nhằm hỗ trợ người dùng trong việc tư vấn ban đầu, gợi ý chuyên khoa phù hợp, hoặc hỗ trợ trả lời các câu hỏi thường gặp liên quan đến dịch vụ khám bệnh.
Thiết kế giao diện thân thiện, dễ sử dụng, đáp ứng nhu cầu của nhiều đối tượng người dùng khác nhau.
Áp dụng các kiến thức đã học về lập trình web, cơ sở dữ liệu và thiết kế hệ thống vào thực tiễn, qua đó nâng cao kỹ năng phân tích, thiết kế và triển khai một hệ thống phần mềm hoàn chỉnh.
Thông qua đề tài, sinh viên có cơ hội tiếp cận mô hình hệ thống y tế số, đồng thời tạo ra một sản phẩm có tính ứng dụng thực tế cao, góp phần nâng cao chất lượng dịch vụ chăm sóc sức khỏe.</v>
      </c>
      <c r="L139" s="9" t="str">
        <f>IFERROR(__xludf.DUMMYFUNCTION("""COMPUTED_VALUE"""),"Nội dung thực hiện
Khảo sát và phân tích yêu cầu hệ thống
Tìm hiểu thực trạng và nhu cầu của người dùng đối với hệ thống đặt lịch khám bệnh trực tuyến.
Phân tích các chức năng cần thiết của hệ thống như: đặt lịch khám, quản lý bệnh nhân, bác sĩ, dịch v"&amp;"ụ khám và lịch sử khám bệnh.
Xác định các yêu cầu chức năng và phi chức năng của hệ thống.
Thiết kế hệ thống
Thiết kế kiến trúc tổng thể của website (frontend, backend, cơ sở dữ liệu).
Thiết kế cơ sở dữ liệu phục vụ quản lý người dùng, lịch khám, hóa "&amp;"đơn, bảo hiểm và các thông tin liên quan.
Thiết kế giao diện người dùng đảm bảo tính trực quan, dễ sử dụng và thân thiện.
Xây dựng các chức năng cơ bản của hệ thống
Phát triển chức năng đăng ký, đăng nhập và phân quyền người dùng (bệnh nhân, bác sĩ, qu"&amp;"ản trị viên).
Xây dựng chức năng đặt lịch khám, xem và quản lý lịch hẹn.
Quản lý thông tin bác sĩ, chuyên khoa, phòng khám và dịch vụ khám.
Quản lý lịch sử khám bệnh và thông tin thanh toán.
Tích hợp trí tuệ nhân tạo (AI)
Nghiên cứu và áp dụng công n"&amp;"ghệ AI để hỗ trợ tư vấn ban đầu cho người bệnh.
Xây dựng chức năng gợi ý chuyên khoa hoặc dịch vụ khám phù hợp dựa trên thông tin người dùng cung cấp.
Hỗ trợ trả lời các câu hỏi thường gặp nhằm nâng cao trải nghiệm người dùng.
Kiểm thử và đánh giá hệ t"&amp;"hống
Tiến hành kiểm thử các chức năng của hệ thống nhằm phát hiện và khắc phục lỗi.
Đánh giá hiệu năng, tính ổn định và mức độ đáp ứng yêu cầu ban đầu của hệ thống.
Hoàn thiện và báo cáo
Hoàn thiện sản phẩm, tối ưu giao diện và chức năng.
Viết báo cá"&amp;"o tổng kết, trình bày kết quả đạt được và hướng phát triển trong tương lai.")</f>
        <v>Nội dung thực hiện
Khảo sát và phân tích yêu cầu hệ thống
Tìm hiểu thực trạng và nhu cầu của người dùng đối với hệ thống đặt lịch khám bệnh trực tuyến.
Phân tích các chức năng cần thiết của hệ thống như: đặt lịch khám, quản lý bệnh nhân, bác sĩ, dịch vụ khám và lịch sử khám bệnh.
Xác định các yêu cầu chức năng và phi chức năng của hệ thống.
Thiết kế hệ thống
Thiết kế kiến trúc tổng thể của website (frontend, backend, cơ sở dữ liệu).
Thiết kế cơ sở dữ liệu phục vụ quản lý người dùng, lịch khám, hóa đơn, bảo hiểm và các thông tin liên quan.
Thiết kế giao diện người dùng đảm bảo tính trực quan, dễ sử dụng và thân thiện.
Xây dựng các chức năng cơ bản của hệ thống
Phát triển chức năng đăng ký, đăng nhập và phân quyền người dùng (bệnh nhân, bác sĩ, quản trị viên).
Xây dựng chức năng đặt lịch khám, xem và quản lý lịch hẹn.
Quản lý thông tin bác sĩ, chuyên khoa, phòng khám và dịch vụ khám.
Quản lý lịch sử khám bệnh và thông tin thanh toán.
Tích hợp trí tuệ nhân tạo (AI)
Nghiên cứu và áp dụng công nghệ AI để hỗ trợ tư vấn ban đầu cho người bệnh.
Xây dựng chức năng gợi ý chuyên khoa hoặc dịch vụ khám phù hợp dựa trên thông tin người dùng cung cấp.
Hỗ trợ trả lời các câu hỏi thường gặp nhằm nâng cao trải nghiệm người dùng.
Kiểm thử và đánh giá hệ thống
Tiến hành kiểm thử các chức năng của hệ thống nhằm phát hiện và khắc phục lỗi.
Đánh giá hiệu năng, tính ổn định và mức độ đáp ứng yêu cầu ban đầu của hệ thống.
Hoàn thiện và báo cáo
Hoàn thiện sản phẩm, tối ưu giao diện và chức năng.
Viết báo cáo tổng kết, trình bày kết quả đạt được và hướng phát triển trong tương lai.</v>
      </c>
      <c r="M139" s="9"/>
      <c r="N139" s="9"/>
      <c r="O139" s="9"/>
      <c r="P139" s="9"/>
      <c r="Q139" s="9" t="str">
        <f>IFERROR(__xludf.DUMMYFUNCTION("""COMPUTED_VALUE"""),"TNDHLTK22_202610515")</f>
        <v>TNDHLTK22_202610515</v>
      </c>
    </row>
    <row r="140">
      <c r="A140" s="10">
        <f>IFERROR(__xludf.DUMMYFUNCTION("""COMPUTED_VALUE"""),46024.54432908565)</f>
        <v>46024.54433</v>
      </c>
      <c r="B140" s="9" t="str">
        <f>IFERROR(__xludf.DUMMYFUNCTION("""COMPUTED_VALUE"""),"phuocnguyen36398@gmail.com")</f>
        <v>phuocnguyen36398@gmail.com</v>
      </c>
      <c r="C140" s="9">
        <f>IFERROR(__xludf.DUMMYFUNCTION("""COMPUTED_VALUE"""),1.22001493E8)</f>
        <v>122001493</v>
      </c>
      <c r="D140" s="9" t="str">
        <f>IFERROR(__xludf.DUMMYFUNCTION("""COMPUTED_VALUE"""),"Nguyễn Hoàng Phước")</f>
        <v>Nguyễn Hoàng Phước</v>
      </c>
      <c r="E140" s="9" t="str">
        <f>IFERROR(__xludf.DUMMYFUNCTION("""COMPUTED_VALUE"""),"0965782304")</f>
        <v>0965782304</v>
      </c>
      <c r="F140" s="9" t="str">
        <f>IFERROR(__xludf.DUMMYFUNCTION("""COMPUTED_VALUE"""),"22CT115")</f>
        <v>22CT115</v>
      </c>
      <c r="G140" s="9" t="str">
        <f>IFERROR(__xludf.DUMMYFUNCTION("""COMPUTED_VALUE"""),"Đặc cách tốt nghiệp")</f>
        <v>Đặc cách tốt nghiệp</v>
      </c>
      <c r="H140" s="9"/>
      <c r="I140" s="9"/>
      <c r="J140" s="9"/>
      <c r="K140" s="9"/>
      <c r="L140" s="9"/>
      <c r="M140" s="9"/>
      <c r="N140" s="9"/>
      <c r="O140" s="9">
        <f>IFERROR(__xludf.DUMMYFUNCTION("""COMPUTED_VALUE"""),8.0)</f>
        <v>8</v>
      </c>
      <c r="P140" s="11" t="str">
        <f>IFERROR(__xludf.DUMMYFUNCTION("""COMPUTED_VALUE"""),"https://drive.google.com/open?id=1SMHKz5hwdAXPGFL7zJQaI7TgLwzssnpK")</f>
        <v>https://drive.google.com/open?id=1SMHKz5hwdAXPGFL7zJQaI7TgLwzssnpK</v>
      </c>
      <c r="Q140" s="9" t="str">
        <f>IFERROR(__xludf.DUMMYFUNCTION("""COMPUTED_VALUE"""),"TNDHLTK22_202610515")</f>
        <v>TNDHLTK22_202610515</v>
      </c>
    </row>
    <row r="141">
      <c r="A141" s="10">
        <f>IFERROR(__xludf.DUMMYFUNCTION("""COMPUTED_VALUE"""),46024.549049340276)</f>
        <v>46024.54905</v>
      </c>
      <c r="B141" s="9" t="str">
        <f>IFERROR(__xludf.DUMMYFUNCTION("""COMPUTED_VALUE"""),"tint08771@gmail.com")</f>
        <v>tint08771@gmail.com</v>
      </c>
      <c r="C141" s="9">
        <f>IFERROR(__xludf.DUMMYFUNCTION("""COMPUTED_VALUE"""),1.22001042E8)</f>
        <v>122001042</v>
      </c>
      <c r="D141" s="9" t="str">
        <f>IFERROR(__xludf.DUMMYFUNCTION("""COMPUTED_VALUE"""),"Trương Trung Tín")</f>
        <v>Trương Trung Tín</v>
      </c>
      <c r="E141" s="9" t="str">
        <f>IFERROR(__xludf.DUMMYFUNCTION("""COMPUTED_VALUE"""),"0866684722")</f>
        <v>0866684722</v>
      </c>
      <c r="F141" s="9" t="str">
        <f>IFERROR(__xludf.DUMMYFUNCTION("""COMPUTED_VALUE"""),"22CT113")</f>
        <v>22CT113</v>
      </c>
      <c r="G141" s="9" t="str">
        <f>IFERROR(__xludf.DUMMYFUNCTION("""COMPUTED_VALUE"""),"Thực hiện đồ án tốt nghiệp")</f>
        <v>Thực hiện đồ án tốt nghiệp</v>
      </c>
      <c r="H141" s="9" t="str">
        <f>IFERROR(__xludf.DUMMYFUNCTION("""COMPUTED_VALUE"""),"Đoàn Thiện Minh")</f>
        <v>Đoàn Thiện Minh</v>
      </c>
      <c r="I141" s="9"/>
      <c r="J141" s="9" t="str">
        <f>IFERROR(__xludf.DUMMYFUNCTION("""COMPUTED_VALUE"""),"Xây dựng ứng dụng phát hiện và phân loại Deepfake trên video. ")</f>
        <v>Xây dựng ứng dụng phát hiện và phân loại Deepfake trên video. </v>
      </c>
      <c r="K141" s="9" t="str">
        <f>IFERROR(__xludf.DUMMYFUNCTION("""COMPUTED_VALUE"""),"Phát hiện DeepFake và các biến thể của DeepFake.")</f>
        <v>Phát hiện DeepFake và các biến thể của DeepFake.</v>
      </c>
      <c r="L141" s="9" t="str">
        <f>IFERROR(__xludf.DUMMYFUNCTION("""COMPUTED_VALUE"""),"Xây dựng ứng dụng Web, dạng một công cụ trực tuyến để người dùng có thể phân tích video và nhận kết quả.")</f>
        <v>Xây dựng ứng dụng Web, dạng một công cụ trực tuyến để người dùng có thể phân tích video và nhận kết quả.</v>
      </c>
      <c r="M141" s="9"/>
      <c r="N141" s="9"/>
      <c r="O141" s="9"/>
      <c r="P141" s="9"/>
      <c r="Q141" s="9" t="str">
        <f>IFERROR(__xludf.DUMMYFUNCTION("""COMPUTED_VALUE"""),"TNDHLTK22_202610515")</f>
        <v>TNDHLTK22_202610515</v>
      </c>
    </row>
    <row r="142">
      <c r="A142" s="10">
        <f>IFERROR(__xludf.DUMMYFUNCTION("""COMPUTED_VALUE"""),46024.571179074075)</f>
        <v>46024.57118</v>
      </c>
      <c r="B142" s="9" t="str">
        <f>IFERROR(__xludf.DUMMYFUNCTION("""COMPUTED_VALUE"""),"hmsonkk7@gmail.com")</f>
        <v>hmsonkk7@gmail.com</v>
      </c>
      <c r="C142" s="9">
        <f>IFERROR(__xludf.DUMMYFUNCTION("""COMPUTED_VALUE"""),1.22001011E8)</f>
        <v>122001011</v>
      </c>
      <c r="D142" s="9" t="str">
        <f>IFERROR(__xludf.DUMMYFUNCTION("""COMPUTED_VALUE"""),"Lê Đức Thịnh")</f>
        <v>Lê Đức Thịnh</v>
      </c>
      <c r="E142" s="9" t="str">
        <f>IFERROR(__xludf.DUMMYFUNCTION("""COMPUTED_VALUE"""),"0367075722")</f>
        <v>0367075722</v>
      </c>
      <c r="F142" s="9" t="str">
        <f>IFERROR(__xludf.DUMMYFUNCTION("""COMPUTED_VALUE"""),"22CT111")</f>
        <v>22CT111</v>
      </c>
      <c r="G142" s="9" t="str">
        <f>IFERROR(__xludf.DUMMYFUNCTION("""COMPUTED_VALUE"""),"Thực hiện đồ án tốt nghiệp")</f>
        <v>Thực hiện đồ án tốt nghiệp</v>
      </c>
      <c r="H142" s="9" t="str">
        <f>IFERROR(__xludf.DUMMYFUNCTION("""COMPUTED_VALUE"""),"Nguyễn Văn Phi")</f>
        <v>Nguyễn Văn Phi</v>
      </c>
      <c r="I142" s="9" t="str">
        <f>IFERROR(__xludf.DUMMYFUNCTION("""COMPUTED_VALUE"""),"Nguyễn Văn Ph")</f>
        <v>Nguyễn Văn Ph</v>
      </c>
      <c r="J142" s="9" t="str">
        <f>IFERROR(__xludf.DUMMYFUNCTION("""COMPUTED_VALUE"""),"Thiết lập mô hình Tường lửa Sophos UTM kết hợp Microsoft Active Directory để kiểm soát người dùng cho doanh nghiệp")</f>
        <v>Thiết lập mô hình Tường lửa Sophos UTM kết hợp Microsoft Active Directory để kiểm soát người dùng cho doanh nghiệp</v>
      </c>
      <c r="K142" s="9" t="str">
        <f>IFERROR(__xludf.DUMMYFUNCTION("""COMPUTED_VALUE"""),"Xây dựng hệ thống tường lửa Sophos UTM kết hợp Microsoft Active Directory để kiểm soát người dùng cho doanh nghiệp, áp dụng kiểm soát truy cập dựa trên danh tính người dùng(user-based policy), áp dụng nguyên tắc Zero Trust cơ bản để nâng cao bảo mật cho d"&amp;"oanh nghiệp")</f>
        <v>Xây dựng hệ thống tường lửa Sophos UTM kết hợp Microsoft Active Directory để kiểm soát người dùng cho doanh nghiệp, áp dụng kiểm soát truy cập dựa trên danh tính người dùng(user-based policy), áp dụng nguyên tắc Zero Trust cơ bản để nâng cao bảo mật cho doanh nghiệp</v>
      </c>
      <c r="L142" s="9" t="str">
        <f>IFERROR(__xludf.DUMMYFUNCTION("""COMPUTED_VALUE"""),"Cài đặt, cấu hình Sophos Firewall (Web Filtering, Application Control, IPS, VPN).
Tích hợp Active Directory (đồng bộ user/group qua LDAP/Agent).
Xây dựng và áp dụng chính sách kiểm soát theo người dùng/nhóm (lọc web, ứng dụng, thời gian truy cập).
Triển k"&amp;"hai báo cáo chi tiết hoạt động người dùng và demo kiểm soát realtime.")</f>
        <v>Cài đặt, cấu hình Sophos Firewall (Web Filtering, Application Control, IPS, VPN).
Tích hợp Active Directory (đồng bộ user/group qua LDAP/Agent).
Xây dựng và áp dụng chính sách kiểm soát theo người dùng/nhóm (lọc web, ứng dụng, thời gian truy cập).
Triển khai báo cáo chi tiết hoạt động người dùng và demo kiểm soát realtime.</v>
      </c>
      <c r="M142" s="9"/>
      <c r="N142" s="9"/>
      <c r="O142" s="9"/>
      <c r="P142" s="9"/>
      <c r="Q142" s="9" t="str">
        <f>IFERROR(__xludf.DUMMYFUNCTION("""COMPUTED_VALUE"""),"TNDHLTK22_202610515")</f>
        <v>TNDHLTK22_202610515</v>
      </c>
    </row>
    <row r="143">
      <c r="A143" s="10">
        <f>IFERROR(__xludf.DUMMYFUNCTION("""COMPUTED_VALUE"""),46024.58423069444)</f>
        <v>46024.58423</v>
      </c>
      <c r="B143" s="9" t="str">
        <f>IFERROR(__xludf.DUMMYFUNCTION("""COMPUTED_VALUE"""),"riverkosemberg@gmail.com")</f>
        <v>riverkosemberg@gmail.com</v>
      </c>
      <c r="C143" s="9">
        <f>IFERROR(__xludf.DUMMYFUNCTION("""COMPUTED_VALUE"""),1.22001215E8)</f>
        <v>122001215</v>
      </c>
      <c r="D143" s="9" t="str">
        <f>IFERROR(__xludf.DUMMYFUNCTION("""COMPUTED_VALUE"""),"Phạm Tùng Dương")</f>
        <v>Phạm Tùng Dương</v>
      </c>
      <c r="E143" s="9" t="str">
        <f>IFERROR(__xludf.DUMMYFUNCTION("""COMPUTED_VALUE"""),"0367561739")</f>
        <v>0367561739</v>
      </c>
      <c r="F143" s="9" t="str">
        <f>IFERROR(__xludf.DUMMYFUNCTION("""COMPUTED_VALUE"""),"22CT114")</f>
        <v>22CT114</v>
      </c>
      <c r="G143" s="9" t="str">
        <f>IFERROR(__xludf.DUMMYFUNCTION("""COMPUTED_VALUE"""),"Thực hiện đồ án tốt nghiệp")</f>
        <v>Thực hiện đồ án tốt nghiệp</v>
      </c>
      <c r="H143" s="9" t="str">
        <f>IFERROR(__xludf.DUMMYFUNCTION("""COMPUTED_VALUE"""),"Bùi Xuân Cảnh")</f>
        <v>Bùi Xuân Cảnh</v>
      </c>
      <c r="I143" s="9" t="str">
        <f>IFERROR(__xludf.DUMMYFUNCTION("""COMPUTED_VALUE"""),"Bùi Xuân Cảnh")</f>
        <v>Bùi Xuân Cảnh</v>
      </c>
      <c r="J143" s="9" t="str">
        <f>IFERROR(__xludf.DUMMYFUNCTION("""COMPUTED_VALUE"""),"Ứng dụng gợi ý thực đơn ăn uống lành mạnh")</f>
        <v>Ứng dụng gợi ý thực đơn ăn uống lành mạnh</v>
      </c>
      <c r="K143" s="9" t="str">
        <f>IFERROR(__xludf.DUMMYFUNCTION("""COMPUTED_VALUE"""),"Hoàn thành đầy đủ")</f>
        <v>Hoàn thành đầy đủ</v>
      </c>
      <c r="L143" s="9" t="str">
        <f>IFERROR(__xludf.DUMMYFUNCTION("""COMPUTED_VALUE"""),"gợi ý thực đơn ăn uống lành mạnh")</f>
        <v>gợi ý thực đơn ăn uống lành mạnh</v>
      </c>
      <c r="M143" s="9" t="str">
        <f>IFERROR(__xludf.DUMMYFUNCTION("""COMPUTED_VALUE"""),"em cần thêm một số ý kiến từ giáo viên hướng dẫn")</f>
        <v>em cần thêm một số ý kiến từ giáo viên hướng dẫn</v>
      </c>
      <c r="N143" s="9"/>
      <c r="O143" s="9"/>
      <c r="P143" s="9"/>
      <c r="Q143" s="9" t="str">
        <f>IFERROR(__xludf.DUMMYFUNCTION("""COMPUTED_VALUE"""),"TNDHLTK22_202610515")</f>
        <v>TNDHLTK22_202610515</v>
      </c>
    </row>
    <row r="144">
      <c r="A144" s="10">
        <f>IFERROR(__xludf.DUMMYFUNCTION("""COMPUTED_VALUE"""),46024.58603252315)</f>
        <v>46024.58603</v>
      </c>
      <c r="B144" s="9" t="str">
        <f>IFERROR(__xludf.DUMMYFUNCTION("""COMPUTED_VALUE"""),"hoanglong1011.20032@gmail.com")</f>
        <v>hoanglong1011.20032@gmail.com</v>
      </c>
      <c r="C144" s="9">
        <f>IFERROR(__xludf.DUMMYFUNCTION("""COMPUTED_VALUE"""),1.22000456E8)</f>
        <v>122000456</v>
      </c>
      <c r="D144" s="9" t="str">
        <f>IFERROR(__xludf.DUMMYFUNCTION("""COMPUTED_VALUE"""),"Nguyễn Quý Hoáng Long ")</f>
        <v>Nguyễn Quý Hoáng Long </v>
      </c>
      <c r="E144" s="9" t="str">
        <f>IFERROR(__xludf.DUMMYFUNCTION("""COMPUTED_VALUE"""),"0586641397")</f>
        <v>0586641397</v>
      </c>
      <c r="F144" s="9" t="str">
        <f>IFERROR(__xludf.DUMMYFUNCTION("""COMPUTED_VALUE"""),"22CT114")</f>
        <v>22CT114</v>
      </c>
      <c r="G144" s="9" t="str">
        <f>IFERROR(__xludf.DUMMYFUNCTION("""COMPUTED_VALUE"""),"Thực hiện đồ án tốt nghiệp")</f>
        <v>Thực hiện đồ án tốt nghiệp</v>
      </c>
      <c r="H144" s="9" t="str">
        <f>IFERROR(__xludf.DUMMYFUNCTION("""COMPUTED_VALUE"""),"Bùi Xuân Cảnh")</f>
        <v>Bùi Xuân Cảnh</v>
      </c>
      <c r="I144" s="9"/>
      <c r="J144" s="9" t="str">
        <f>IFERROR(__xludf.DUMMYFUNCTION("""COMPUTED_VALUE"""),"Ứng dụng gợi ý thực đơn ăn uống lành mạnh")</f>
        <v>Ứng dụng gợi ý thực đơn ăn uống lành mạnh</v>
      </c>
      <c r="K144" s="9" t="str">
        <f>IFERROR(__xludf.DUMMYFUNCTION("""COMPUTED_VALUE"""),"gợi ý thực đơn ăn uống lành mạnh")</f>
        <v>gợi ý thực đơn ăn uống lành mạnh</v>
      </c>
      <c r="L144" s="9" t="str">
        <f>IFERROR(__xludf.DUMMYFUNCTION("""COMPUTED_VALUE"""),"Ứng dụng gợi ý thực đơn ăn uống lành mạnh")</f>
        <v>Ứng dụng gợi ý thực đơn ăn uống lành mạnh</v>
      </c>
      <c r="M144" s="9" t="str">
        <f>IFERROR(__xludf.DUMMYFUNCTION("""COMPUTED_VALUE"""),"Cùng nhóm Phạm Tùng Dương 
msv:122001215")</f>
        <v>Cùng nhóm Phạm Tùng Dương 
msv:122001215</v>
      </c>
      <c r="N144" s="9"/>
      <c r="O144" s="9"/>
      <c r="P144" s="9"/>
      <c r="Q144" s="9" t="str">
        <f>IFERROR(__xludf.DUMMYFUNCTION("""COMPUTED_VALUE"""),"TNDHLTK22_202610515")</f>
        <v>TNDHLTK22_202610515</v>
      </c>
    </row>
    <row r="145">
      <c r="A145" s="10">
        <f>IFERROR(__xludf.DUMMYFUNCTION("""COMPUTED_VALUE"""),46024.60944313658)</f>
        <v>46024.60944</v>
      </c>
      <c r="B145" s="9" t="str">
        <f>IFERROR(__xludf.DUMMYFUNCTION("""COMPUTED_VALUE"""),"haiyen03042004@gmail.com")</f>
        <v>haiyen03042004@gmail.com</v>
      </c>
      <c r="C145" s="9">
        <f>IFERROR(__xludf.DUMMYFUNCTION("""COMPUTED_VALUE"""),1.22000292E8)</f>
        <v>122000292</v>
      </c>
      <c r="D145" s="9" t="str">
        <f>IFERROR(__xludf.DUMMYFUNCTION("""COMPUTED_VALUE"""),"Trương Thị Hải Yến ")</f>
        <v>Trương Thị Hải Yến </v>
      </c>
      <c r="E145" s="9" t="str">
        <f>IFERROR(__xludf.DUMMYFUNCTION("""COMPUTED_VALUE"""),"0989752391")</f>
        <v>0989752391</v>
      </c>
      <c r="F145" s="9" t="str">
        <f>IFERROR(__xludf.DUMMYFUNCTION("""COMPUTED_VALUE"""),"22CT114")</f>
        <v>22CT114</v>
      </c>
      <c r="G145" s="9" t="str">
        <f>IFERROR(__xludf.DUMMYFUNCTION("""COMPUTED_VALUE"""),"Thực hiện đồ án tốt nghiệp")</f>
        <v>Thực hiện đồ án tốt nghiệp</v>
      </c>
      <c r="H145" s="9" t="str">
        <f>IFERROR(__xludf.DUMMYFUNCTION("""COMPUTED_VALUE"""),"Bùi Xuân Cảnh")</f>
        <v>Bùi Xuân Cảnh</v>
      </c>
      <c r="I145" s="9"/>
      <c r="J145" s="9" t="str">
        <f>IFERROR(__xludf.DUMMYFUNCTION("""COMPUTED_VALUE"""),"Ứng dụng hỗ trợ người bệnh ")</f>
        <v>Ứng dụng hỗ trợ người bệnh </v>
      </c>
      <c r="K145" s="9" t="str">
        <f>IFERROR(__xludf.DUMMYFUNCTION("""COMPUTED_VALUE"""),"Tiếp tục phát triển và hoàn thiện ứng dụng hỗ trợ người bệnh trong việc tuân thủ chế độ uống thuốc, ăn uống và vận động bằng cách nâng cao mức độ bảo mật thông tin, tăng tính thông minh trong gợi ý chăm sóc sức khỏe và mở rộng các chức năng phục vụ thực t"&amp;"ế, hướng đến một hệ thống hỗ trợ chăm sóc sức khỏe cá nhân an toàn, hiệu quả và dễ sử dụng.")</f>
        <v>Tiếp tục phát triển và hoàn thiện ứng dụng hỗ trợ người bệnh trong việc tuân thủ chế độ uống thuốc, ăn uống và vận động bằng cách nâng cao mức độ bảo mật thông tin, tăng tính thông minh trong gợi ý chăm sóc sức khỏe và mở rộng các chức năng phục vụ thực tế, hướng đến một hệ thống hỗ trợ chăm sóc sức khỏe cá nhân an toàn, hiệu quả và dễ sử dụng.</v>
      </c>
      <c r="L145" s="9" t="str">
        <f>IFERROR(__xludf.DUMMYFUNCTION("""COMPUTED_VALUE"""),"Rà soát hệ thống đã xây dựng, phân tích và mở rộng yêu cầu; cập nhật tài liệu SRS cho giai đoạn Tốt nghiệp.
Tăng cường bảo mật thông tin bệnh nhân thông qua mã hóa dữ liệu, phân quyền người dùng và kiểm soát dữ liệu sử dụng cho module AI.
Phát triển hệ th"&amp;"ống gợi ý chăm sóc sức khỏe thông minh dựa trên hồ sơ bệnh lý và lịch sử sử dụng của người dùng.
Mở rộng chức năng quản lý đơn thuốc theo liệu trình, hỗ trợ nhập đơn thuốc từ hình ảnh bằng công nghệ OCR.
Hoàn thiện chức năng xuất báo cáo sức khỏe định dạn"&amp;"g PDF/Excel theo ngày, tuần và tháng.
Tối ưu trải nghiệm người dùng, thực hiện kiểm thử, đánh giá hệ thống và hoàn thiện báo cáo tốt nghiệp, đề xuất hướng phát triển.")</f>
        <v>Rà soát hệ thống đã xây dựng, phân tích và mở rộng yêu cầu; cập nhật tài liệu SRS cho giai đoạn Tốt nghiệp.
Tăng cường bảo mật thông tin bệnh nhân thông qua mã hóa dữ liệu, phân quyền người dùng và kiểm soát dữ liệu sử dụng cho module AI.
Phát triển hệ thống gợi ý chăm sóc sức khỏe thông minh dựa trên hồ sơ bệnh lý và lịch sử sử dụng của người dùng.
Mở rộng chức năng quản lý đơn thuốc theo liệu trình, hỗ trợ nhập đơn thuốc từ hình ảnh bằng công nghệ OCR.
Hoàn thiện chức năng xuất báo cáo sức khỏe định dạng PDF/Excel theo ngày, tuần và tháng.
Tối ưu trải nghiệm người dùng, thực hiện kiểm thử, đánh giá hệ thống và hoàn thiện báo cáo tốt nghiệp, đề xuất hướng phát triển.</v>
      </c>
      <c r="M145" s="9"/>
      <c r="N145" s="9"/>
      <c r="O145" s="9"/>
      <c r="P145" s="9"/>
      <c r="Q145" s="9" t="str">
        <f>IFERROR(__xludf.DUMMYFUNCTION("""COMPUTED_VALUE"""),"TNDHLTK22_202610515")</f>
        <v>TNDHLTK22_202610515</v>
      </c>
    </row>
    <row r="146">
      <c r="A146" s="10">
        <f>IFERROR(__xludf.DUMMYFUNCTION("""COMPUTED_VALUE"""),46024.66846237269)</f>
        <v>46024.66846</v>
      </c>
      <c r="B146" s="9" t="str">
        <f>IFERROR(__xludf.DUMMYFUNCTION("""COMPUTED_VALUE"""),"nguyentheminhthien2204@gmail.com")</f>
        <v>nguyentheminhthien2204@gmail.com</v>
      </c>
      <c r="C146" s="9">
        <f>IFERROR(__xludf.DUMMYFUNCTION("""COMPUTED_VALUE"""),1.22000331E8)</f>
        <v>122000331</v>
      </c>
      <c r="D146" s="9" t="str">
        <f>IFERROR(__xludf.DUMMYFUNCTION("""COMPUTED_VALUE"""),"Nguyễn Thế Minh Thiện")</f>
        <v>Nguyễn Thế Minh Thiện</v>
      </c>
      <c r="E146" s="9" t="str">
        <f>IFERROR(__xludf.DUMMYFUNCTION("""COMPUTED_VALUE"""),"0866484322")</f>
        <v>0866484322</v>
      </c>
      <c r="F146" s="9" t="str">
        <f>IFERROR(__xludf.DUMMYFUNCTION("""COMPUTED_VALUE"""),"22CT112")</f>
        <v>22CT112</v>
      </c>
      <c r="G146" s="9" t="str">
        <f>IFERROR(__xludf.DUMMYFUNCTION("""COMPUTED_VALUE"""),"Thực hiện đồ án tốt nghiệp")</f>
        <v>Thực hiện đồ án tốt nghiệp</v>
      </c>
      <c r="H146" s="9" t="str">
        <f>IFERROR(__xludf.DUMMYFUNCTION("""COMPUTED_VALUE"""),"Nguyễn Minh Phúc")</f>
        <v>Nguyễn Minh Phúc</v>
      </c>
      <c r="I146" s="9"/>
      <c r="J146" s="9" t="str">
        <f>IFERROR(__xludf.DUMMYFUNCTION("""COMPUTED_VALUE"""),"Phát triển hệ thống bán hàng cho hộ kinh doanh nhỏ tích hợp công nghệ nhận dạng giọng nói")</f>
        <v>Phát triển hệ thống bán hàng cho hộ kinh doanh nhỏ tích hợp công nghệ nhận dạng giọng nói</v>
      </c>
      <c r="K146" s="9" t="str">
        <f>IFERROR(__xludf.DUMMYFUNCTION("""COMPUTED_VALUE"""),"Xây dựng một hệ thống bán hàng trên nền tảng web dành cho hộ kinh doanh nhỏ, hỗ trợ quy trình bán hàng tại quầy và quản lý dữ liệu bán hàng. Hệ thống tích hợp công nghệ nhận dạng giọng nói để giúp người bán thao tác nhanh khi thêm sản phẩm vào đơn hàng, g"&amp;"iảm thời gian nhập liệu và nâng cao hiệu quả phục vụ.
Ngoài ra, hệ thống cung cấp các chức năng quản lý sản phẩm, tồn kho, đơn hàng và báo cáo doanh thu, đảm bảo đáp ứng nhu cầu vận hành cơ bản của cửa hàng nhỏ lẻ.")</f>
        <v>Xây dựng một hệ thống bán hàng trên nền tảng web dành cho hộ kinh doanh nhỏ, hỗ trợ quy trình bán hàng tại quầy và quản lý dữ liệu bán hàng. Hệ thống tích hợp công nghệ nhận dạng giọng nói để giúp người bán thao tác nhanh khi thêm sản phẩm vào đơn hàng, giảm thời gian nhập liệu và nâng cao hiệu quả phục vụ.
Ngoài ra, hệ thống cung cấp các chức năng quản lý sản phẩm, tồn kho, đơn hàng và báo cáo doanh thu, đảm bảo đáp ứng nhu cầu vận hành cơ bản của cửa hàng nhỏ lẻ.</v>
      </c>
      <c r="L146" s="9" t="str">
        <f>IFERROR(__xludf.DUMMYFUNCTION("""COMPUTED_VALUE"""),"1) Khảo sát và phân tích yêu cầu nghiệp vụ hệ thống bán hàng cho hộ kinh doanh nhỏ.
2) Thiết kế kiến trúc hệ thống (frontend–backend) và thiết kế cơ sở dữ liệu.
3) Xây dựng backend API phục vụ các chức năng: sản phẩm, đơn hàng, thanh toán, tồn kho, báo cá"&amp;"o.
4) Xây dựng giao diện Admin/POS (người bán) gồm:
   - Bán hàng tại quầy (tạo đơn, thêm/sửa/xóa sản phẩm trong đơn, thanh toán).
   - Tích hợp giọng nói: nhập câu lệnh (mô phỏng hoặc microphone), phân tích câu lệnh để thêm sản phẩm vào giỏ hàng.
   - Qu"&amp;"ản lý đơn hàng và xem lịch sử bán hàng.
5) Xây dựng giao diện quản lý sản phẩm và tồn kho (CRUD sản phẩm, cập nhật tồn).
6) Xây dựng chức năng báo cáo cơ bản: doanh thu theo ngày/khoảng thời gian, số lượng đơn, sản phẩm bán chạy.
7) Kiểm thử chức năng, đá"&amp;"nh giá kết quả và hoàn thiện hệ thống.")</f>
        <v>1) Khảo sát và phân tích yêu cầu nghiệp vụ hệ thống bán hàng cho hộ kinh doanh nhỏ.
2) Thiết kế kiến trúc hệ thống (frontend–backend) và thiết kế cơ sở dữ liệu.
3) Xây dựng backend API phục vụ các chức năng: sản phẩm, đơn hàng, thanh toán, tồn kho, báo cáo.
4) Xây dựng giao diện Admin/POS (người bán) gồm:
   - Bán hàng tại quầy (tạo đơn, thêm/sửa/xóa sản phẩm trong đơn, thanh toán).
   - Tích hợp giọng nói: nhập câu lệnh (mô phỏng hoặc microphone), phân tích câu lệnh để thêm sản phẩm vào giỏ hàng.
   - Quản lý đơn hàng và xem lịch sử bán hàng.
5) Xây dựng giao diện quản lý sản phẩm và tồn kho (CRUD sản phẩm, cập nhật tồn).
6) Xây dựng chức năng báo cáo cơ bản: doanh thu theo ngày/khoảng thời gian, số lượng đơn, sản phẩm bán chạy.
7) Kiểm thử chức năng, đánh giá kết quả và hoàn thiện hệ thống.</v>
      </c>
      <c r="M146" s="9"/>
      <c r="N146" s="9"/>
      <c r="O146" s="9"/>
      <c r="P146" s="9"/>
      <c r="Q146" s="9" t="str">
        <f>IFERROR(__xludf.DUMMYFUNCTION("""COMPUTED_VALUE"""),"TNDHLTK22_202610515")</f>
        <v>TNDHLTK22_202610515</v>
      </c>
    </row>
    <row r="147">
      <c r="A147" s="10">
        <f>IFERROR(__xludf.DUMMYFUNCTION("""COMPUTED_VALUE"""),46024.66871515046)</f>
        <v>46024.66872</v>
      </c>
      <c r="B147" s="9" t="str">
        <f>IFERROR(__xludf.DUMMYFUNCTION("""COMPUTED_VALUE"""),"vodainhan.080504@gmail.com")</f>
        <v>vodainhan.080504@gmail.com</v>
      </c>
      <c r="C147" s="9">
        <f>IFERROR(__xludf.DUMMYFUNCTION("""COMPUTED_VALUE"""),1.22000644E8)</f>
        <v>122000644</v>
      </c>
      <c r="D147" s="9" t="str">
        <f>IFERROR(__xludf.DUMMYFUNCTION("""COMPUTED_VALUE"""),"Võ Đại Nhân")</f>
        <v>Võ Đại Nhân</v>
      </c>
      <c r="E147" s="9" t="str">
        <f>IFERROR(__xludf.DUMMYFUNCTION("""COMPUTED_VALUE"""),"0388963814")</f>
        <v>0388963814</v>
      </c>
      <c r="F147" s="9" t="str">
        <f>IFERROR(__xludf.DUMMYFUNCTION("""COMPUTED_VALUE"""),"22CT 112")</f>
        <v>22CT 112</v>
      </c>
      <c r="G147" s="9" t="str">
        <f>IFERROR(__xludf.DUMMYFUNCTION("""COMPUTED_VALUE"""),"Thực hiện đồ án tốt nghiệp")</f>
        <v>Thực hiện đồ án tốt nghiệp</v>
      </c>
      <c r="H147" s="9" t="str">
        <f>IFERROR(__xludf.DUMMYFUNCTION("""COMPUTED_VALUE"""),"Nguyễn Minh Phúc")</f>
        <v>Nguyễn Minh Phúc</v>
      </c>
      <c r="I147" s="9"/>
      <c r="J147" s="9" t="str">
        <f>IFERROR(__xludf.DUMMYFUNCTION("""COMPUTED_VALUE"""),"Phát triển hệ thống bán hàng cho hộ kinh doanh nhỏ tích hợp công nghệ nhận dạng giọng nói")</f>
        <v>Phát triển hệ thống bán hàng cho hộ kinh doanh nhỏ tích hợp công nghệ nhận dạng giọng nói</v>
      </c>
      <c r="K147" s="9" t="str">
        <f>IFERROR(__xludf.DUMMYFUNCTION("""COMPUTED_VALUE"""),"Xây dựng một hệ thống bán hàng trên nền tảng web dành cho hộ kinh doanh nhỏ, hỗ trợ quy trình bán hàng tại quầy và quản lý dữ liệu bán hàng. Hệ thống tích hợp công nghệ nhận dạng giọng nói để giúp người bán thao tác nhanh khi thêm sản phẩm vào đơn hàng, g"&amp;"iảm thời gian nhập liệu và nâng cao hiệu quả phục vụ.
Ngoài ra, hệ thống cung cấp các chức năng quản lý sản phẩm, tồn kho, đơn hàng và báo cáo doanh thu, đảm bảo đáp ứng nhu cầu vận hành cơ bản của cửa hàng nhỏ lẻ.")</f>
        <v>Xây dựng một hệ thống bán hàng trên nền tảng web dành cho hộ kinh doanh nhỏ, hỗ trợ quy trình bán hàng tại quầy và quản lý dữ liệu bán hàng. Hệ thống tích hợp công nghệ nhận dạng giọng nói để giúp người bán thao tác nhanh khi thêm sản phẩm vào đơn hàng, giảm thời gian nhập liệu và nâng cao hiệu quả phục vụ.
Ngoài ra, hệ thống cung cấp các chức năng quản lý sản phẩm, tồn kho, đơn hàng và báo cáo doanh thu, đảm bảo đáp ứng nhu cầu vận hành cơ bản của cửa hàng nhỏ lẻ.</v>
      </c>
      <c r="L147" s="9" t="str">
        <f>IFERROR(__xludf.DUMMYFUNCTION("""COMPUTED_VALUE"""),"1) Khảo sát và phân tích yêu cầu nghiệp vụ hệ thống bán hàng cho hộ kinh doanh nhỏ.
2) Thiết kế kiến trúc hệ thống (frontend–backend) và thiết kế cơ sở dữ liệu.
3) Xây dựng backend API phục vụ các chức năng: sản phẩm, đơn hàng, thanh toán, tồn kho, báo cá"&amp;"o.
4) Xây dựng giao diện Admin/POS (người bán) gồm:
   - Bán hàng tại quầy (tạo đơn, thêm/sửa/xóa sản phẩm trong đơn, thanh toán).
   - Tích hợp giọng nói: nhập câu lệnh (mô phỏng hoặc microphone), phân tích câu lệnh để thêm sản phẩm vào giỏ hàng.
   - Qu"&amp;"ản lý đơn hàng và xem lịch sử bán hàng.
5) Xây dựng giao diện quản lý sản phẩm và tồn kho (CRUD sản phẩm, cập nhật tồn).
6) Xây dựng chức năng báo cáo cơ bản: doanh thu theo ngày/khoảng thời gian, số lượng đơn, sản phẩm bán chạy.
7) Kiểm thử chức năng, đá"&amp;"nh giá kết quả và hoàn thiện hệ thống.")</f>
        <v>1) Khảo sát và phân tích yêu cầu nghiệp vụ hệ thống bán hàng cho hộ kinh doanh nhỏ.
2) Thiết kế kiến trúc hệ thống (frontend–backend) và thiết kế cơ sở dữ liệu.
3) Xây dựng backend API phục vụ các chức năng: sản phẩm, đơn hàng, thanh toán, tồn kho, báo cáo.
4) Xây dựng giao diện Admin/POS (người bán) gồm:
   - Bán hàng tại quầy (tạo đơn, thêm/sửa/xóa sản phẩm trong đơn, thanh toán).
   - Tích hợp giọng nói: nhập câu lệnh (mô phỏng hoặc microphone), phân tích câu lệnh để thêm sản phẩm vào giỏ hàng.
   - Quản lý đơn hàng và xem lịch sử bán hàng.
5) Xây dựng giao diện quản lý sản phẩm và tồn kho (CRUD sản phẩm, cập nhật tồn).
6) Xây dựng chức năng báo cáo cơ bản: doanh thu theo ngày/khoảng thời gian, số lượng đơn, sản phẩm bán chạy.
7) Kiểm thử chức năng, đánh giá kết quả và hoàn thiện hệ thống.</v>
      </c>
      <c r="M147" s="9"/>
      <c r="N147" s="9"/>
      <c r="O147" s="9"/>
      <c r="P147" s="9"/>
      <c r="Q147" s="9" t="str">
        <f>IFERROR(__xludf.DUMMYFUNCTION("""COMPUTED_VALUE"""),"TNDHLTK22_202610515")</f>
        <v>TNDHLTK22_202610515</v>
      </c>
    </row>
    <row r="148">
      <c r="A148" s="10">
        <f>IFERROR(__xludf.DUMMYFUNCTION("""COMPUTED_VALUE"""),46024.673075694445)</f>
        <v>46024.67308</v>
      </c>
      <c r="B148" s="9" t="str">
        <f>IFERROR(__xludf.DUMMYFUNCTION("""COMPUTED_VALUE"""),"dinhtanhung10ta7@gmail.com")</f>
        <v>dinhtanhung10ta7@gmail.com</v>
      </c>
      <c r="C148" s="9">
        <f>IFERROR(__xludf.DUMMYFUNCTION("""COMPUTED_VALUE"""),1.22000042E8)</f>
        <v>122000042</v>
      </c>
      <c r="D148" s="9" t="str">
        <f>IFERROR(__xludf.DUMMYFUNCTION("""COMPUTED_VALUE"""),"Đinh Tấn Hùng")</f>
        <v>Đinh Tấn Hùng</v>
      </c>
      <c r="E148" s="9" t="str">
        <f>IFERROR(__xludf.DUMMYFUNCTION("""COMPUTED_VALUE"""),"0982828004")</f>
        <v>0982828004</v>
      </c>
      <c r="F148" s="9" t="str">
        <f>IFERROR(__xludf.DUMMYFUNCTION("""COMPUTED_VALUE"""),"22ct113")</f>
        <v>22ct113</v>
      </c>
      <c r="G148" s="9" t="str">
        <f>IFERROR(__xludf.DUMMYFUNCTION("""COMPUTED_VALUE"""),"Thực hiện đồ án tốt nghiệp")</f>
        <v>Thực hiện đồ án tốt nghiệp</v>
      </c>
      <c r="H148" s="9" t="str">
        <f>IFERROR(__xludf.DUMMYFUNCTION("""COMPUTED_VALUE"""),"Phan Mạnh Thường")</f>
        <v>Phan Mạnh Thường</v>
      </c>
      <c r="I148" s="9"/>
      <c r="J148" s="9" t="str">
        <f>IFERROR(__xludf.DUMMYFUNCTION("""COMPUTED_VALUE"""),"Rag đa phương thức cho báo cáo tài chính")</f>
        <v>Rag đa phương thức cho báo cáo tài chính</v>
      </c>
      <c r="K148" s="9" t="str">
        <f>IFERROR(__xludf.DUMMYFUNCTION("""COMPUTED_VALUE"""),"có thể phân tích đc nhiều báo cáo và so sánh chúng ")</f>
        <v>có thể phân tích đc nhiều báo cáo và so sánh chúng </v>
      </c>
      <c r="L148" s="9" t="str">
        <f>IFERROR(__xludf.DUMMYFUNCTION("""COMPUTED_VALUE"""),"Thu thập và tiền xử lý dữ liệu báo cáo tài chính")</f>
        <v>Thu thập và tiền xử lý dữ liệu báo cáo tài chính</v>
      </c>
      <c r="M148" s="9"/>
      <c r="N148" s="9"/>
      <c r="O148" s="9"/>
      <c r="P148" s="9"/>
      <c r="Q148" s="9" t="str">
        <f>IFERROR(__xludf.DUMMYFUNCTION("""COMPUTED_VALUE"""),"TNDHLTK22_202610515")</f>
        <v>TNDHLTK22_202610515</v>
      </c>
    </row>
    <row r="149">
      <c r="A149" s="10">
        <f>IFERROR(__xludf.DUMMYFUNCTION("""COMPUTED_VALUE"""),46024.67560530093)</f>
        <v>46024.67561</v>
      </c>
      <c r="B149" s="9" t="str">
        <f>IFERROR(__xludf.DUMMYFUNCTION("""COMPUTED_VALUE"""),"minhnhu0575lhu@gmail.com")</f>
        <v>minhnhu0575lhu@gmail.com</v>
      </c>
      <c r="C149" s="9">
        <f>IFERROR(__xludf.DUMMYFUNCTION("""COMPUTED_VALUE"""),1.22000575E8)</f>
        <v>122000575</v>
      </c>
      <c r="D149" s="9" t="str">
        <f>IFERROR(__xludf.DUMMYFUNCTION("""COMPUTED_VALUE"""),"Nguyễn Doãn Minh Như")</f>
        <v>Nguyễn Doãn Minh Như</v>
      </c>
      <c r="E149" s="9" t="str">
        <f>IFERROR(__xludf.DUMMYFUNCTION("""COMPUTED_VALUE"""),"0937384680")</f>
        <v>0937384680</v>
      </c>
      <c r="F149" s="9" t="str">
        <f>IFERROR(__xludf.DUMMYFUNCTION("""COMPUTED_VALUE"""),"22CT112")</f>
        <v>22CT112</v>
      </c>
      <c r="G149" s="9" t="str">
        <f>IFERROR(__xludf.DUMMYFUNCTION("""COMPUTED_VALUE"""),"Thực hiện đồ án tốt nghiệp")</f>
        <v>Thực hiện đồ án tốt nghiệp</v>
      </c>
      <c r="H149" s="9" t="str">
        <f>IFERROR(__xludf.DUMMYFUNCTION("""COMPUTED_VALUE"""),"Nguyễn Minh Phúc")</f>
        <v>Nguyễn Minh Phúc</v>
      </c>
      <c r="I149" s="9"/>
      <c r="J149" s="9" t="str">
        <f>IFERROR(__xludf.DUMMYFUNCTION("""COMPUTED_VALUE"""),"Xây Dựng Module Thiết Kế Lộ Trình Học Tập Thích Ứng Theo Năng Lực (Adaptive Learning Path)")</f>
        <v>Xây Dựng Module Thiết Kế Lộ Trình Học Tập Thích Ứng Theo Năng Lực (Adaptive Learning Path)</v>
      </c>
      <c r="K149" s="9" t="str">
        <f>IFERROR(__xludf.DUMMYFUNCTION("""COMPUTED_VALUE"""),"Xây dựng một module phần mềm có khả năng thiết kế, quản lý và điều chỉnh lộ trình học tập cá nhân hóa cho người học dựa trên năng lực, kết quả đánh giá và tiến độ học tập, nhằm nâng cao hiệu quả học tập và hỗ trợ giảng viên trong việc theo dõi, đánh giá n"&amp;"gười học.")</f>
        <v>Xây dựng một module phần mềm có khả năng thiết kế, quản lý và điều chỉnh lộ trình học tập cá nhân hóa cho người học dựa trên năng lực, kết quả đánh giá và tiến độ học tập, nhằm nâng cao hiệu quả học tập và hỗ trợ giảng viên trong việc theo dõi, đánh giá người học.</v>
      </c>
      <c r="L149" s="9" t="str">
        <f>IFERROR(__xludf.DUMMYFUNCTION("""COMPUTED_VALUE"""),"Phân tích và xác định năng lực đầu vào của người học thông qua bài kiểm tra hoặc dữ liệu học tập.
Thiết kế lộ trình học tập linh hoạt, phù hợp với từng trình độ và mục tiêu học tập.
Tự động điều chỉnh lộ trình dựa trên kết quả học tập và mức độ hoàn thà"&amp;"nh.
Hỗ trợ giảng viên/quản trị viên trong việc tạo nội dung, theo dõi tiến độ và đánh giá hiệu quả học tập.
Cung cấp giao diện trực quan, dễ sử dụng cho cả người học và giảng viên.
")</f>
        <v>Phân tích và xác định năng lực đầu vào của người học thông qua bài kiểm tra hoặc dữ liệu học tập.
Thiết kế lộ trình học tập linh hoạt, phù hợp với từng trình độ và mục tiêu học tập.
Tự động điều chỉnh lộ trình dựa trên kết quả học tập và mức độ hoàn thành.
Hỗ trợ giảng viên/quản trị viên trong việc tạo nội dung, theo dõi tiến độ và đánh giá hiệu quả học tập.
Cung cấp giao diện trực quan, dễ sử dụng cho cả người học và giảng viên.
</v>
      </c>
      <c r="M149" s="9"/>
      <c r="N149" s="9"/>
      <c r="O149" s="9"/>
      <c r="P149" s="9"/>
      <c r="Q149" s="9" t="str">
        <f>IFERROR(__xludf.DUMMYFUNCTION("""COMPUTED_VALUE"""),"TNDHLTK22_202610515")</f>
        <v>TNDHLTK22_202610515</v>
      </c>
    </row>
    <row r="150">
      <c r="A150" s="10">
        <f>IFERROR(__xludf.DUMMYFUNCTION("""COMPUTED_VALUE"""),46024.67622836806)</f>
        <v>46024.67623</v>
      </c>
      <c r="B150" s="9" t="str">
        <f>IFERROR(__xludf.DUMMYFUNCTION("""COMPUTED_VALUE"""),"phonghk202@gmail.com")</f>
        <v>phonghk202@gmail.com</v>
      </c>
      <c r="C150" s="9">
        <f>IFERROR(__xludf.DUMMYFUNCTION("""COMPUTED_VALUE"""),1.22000805E8)</f>
        <v>122000805</v>
      </c>
      <c r="D150" s="9" t="str">
        <f>IFERROR(__xludf.DUMMYFUNCTION("""COMPUTED_VALUE"""),"Nguyễn Hồng Phong")</f>
        <v>Nguyễn Hồng Phong</v>
      </c>
      <c r="E150" s="9" t="str">
        <f>IFERROR(__xludf.DUMMYFUNCTION("""COMPUTED_VALUE"""),"0866913432")</f>
        <v>0866913432</v>
      </c>
      <c r="F150" s="9" t="str">
        <f>IFERROR(__xludf.DUMMYFUNCTION("""COMPUTED_VALUE"""),"22ct112")</f>
        <v>22ct112</v>
      </c>
      <c r="G150" s="9" t="str">
        <f>IFERROR(__xludf.DUMMYFUNCTION("""COMPUTED_VALUE"""),"Thực hiện đồ án tốt nghiệp")</f>
        <v>Thực hiện đồ án tốt nghiệp</v>
      </c>
      <c r="H150" s="9" t="str">
        <f>IFERROR(__xludf.DUMMYFUNCTION("""COMPUTED_VALUE"""),"Nguyễn Minh Phúc")</f>
        <v>Nguyễn Minh Phúc</v>
      </c>
      <c r="I150" s="9"/>
      <c r="J150" s="9" t="str">
        <f>IFERROR(__xludf.DUMMYFUNCTION("""COMPUTED_VALUE"""),"Xây Dựng Module Thiết Kế Lộ Trình Học Tập Thích Ứng Theo Năng Lực (Adaptive Learning Path)")</f>
        <v>Xây Dựng Module Thiết Kế Lộ Trình Học Tập Thích Ứng Theo Năng Lực (Adaptive Learning Path)</v>
      </c>
      <c r="K150" s="9" t="str">
        <f>IFERROR(__xludf.DUMMYFUNCTION("""COMPUTED_VALUE"""),"Hoàn thành đồ án")</f>
        <v>Hoàn thành đồ án</v>
      </c>
      <c r="L150" s="9" t="str">
        <f>IFERROR(__xludf.DUMMYFUNCTION("""COMPUTED_VALUE"""),"Hoàn thiện đồ án")</f>
        <v>Hoàn thiện đồ án</v>
      </c>
      <c r="M150" s="9"/>
      <c r="N150" s="9"/>
      <c r="O150" s="9"/>
      <c r="P150" s="9"/>
      <c r="Q150" s="9" t="str">
        <f>IFERROR(__xludf.DUMMYFUNCTION("""COMPUTED_VALUE"""),"TNDHLTK22_202610515")</f>
        <v>TNDHLTK22_202610515</v>
      </c>
    </row>
    <row r="151">
      <c r="A151" s="10">
        <f>IFERROR(__xludf.DUMMYFUNCTION("""COMPUTED_VALUE"""),46024.75268723379)</f>
        <v>46024.75269</v>
      </c>
      <c r="B151" s="9" t="str">
        <f>IFERROR(__xludf.DUMMYFUNCTION("""COMPUTED_VALUE"""),"17112004hai@gmail.com")</f>
        <v>17112004hai@gmail.com</v>
      </c>
      <c r="C151" s="9">
        <f>IFERROR(__xludf.DUMMYFUNCTION("""COMPUTED_VALUE"""),1.22000848E8)</f>
        <v>122000848</v>
      </c>
      <c r="D151" s="9" t="str">
        <f>IFERROR(__xludf.DUMMYFUNCTION("""COMPUTED_VALUE"""),"Hoàng Minh Hải")</f>
        <v>Hoàng Minh Hải</v>
      </c>
      <c r="E151" s="9" t="str">
        <f>IFERROR(__xludf.DUMMYFUNCTION("""COMPUTED_VALUE"""),"0376987960")</f>
        <v>0376987960</v>
      </c>
      <c r="F151" s="9" t="str">
        <f>IFERROR(__xludf.DUMMYFUNCTION("""COMPUTED_VALUE"""),"22CT113")</f>
        <v>22CT113</v>
      </c>
      <c r="G151" s="9" t="str">
        <f>IFERROR(__xludf.DUMMYFUNCTION("""COMPUTED_VALUE"""),"Thực hiện đồ án tốt nghiệp")</f>
        <v>Thực hiện đồ án tốt nghiệp</v>
      </c>
      <c r="H151" s="9" t="str">
        <f>IFERROR(__xludf.DUMMYFUNCTION("""COMPUTED_VALUE"""),"Hoàng Sỹ Hùng")</f>
        <v>Hoàng Sỹ Hùng</v>
      </c>
      <c r="I151" s="9" t="str">
        <f>IFERROR(__xludf.DUMMYFUNCTION("""COMPUTED_VALUE"""),"Hoàng Sĩ Hùng")</f>
        <v>Hoàng Sĩ Hùng</v>
      </c>
      <c r="J151" s="9" t="str">
        <f>IFERROR(__xludf.DUMMYFUNCTION("""COMPUTED_VALUE"""),"Quản lý CV")</f>
        <v>Quản lý CV</v>
      </c>
      <c r="K151" s="9" t="str">
        <f>IFERROR(__xludf.DUMMYFUNCTION("""COMPUTED_VALUE"""),"Hoàn thành nốt phần còn thiếu của đề tài triển ứng dụng")</f>
        <v>Hoàn thành nốt phần còn thiếu của đề tài triển ứng dụng</v>
      </c>
      <c r="L151" s="9" t="str">
        <f>IFERROR(__xludf.DUMMYFUNCTION("""COMPUTED_VALUE"""),"Phát triển Backend và Fronend")</f>
        <v>Phát triển Backend và Fronend</v>
      </c>
      <c r="M151" s="9"/>
      <c r="N151" s="9"/>
      <c r="O151" s="9"/>
      <c r="P151" s="9"/>
      <c r="Q151" s="9" t="str">
        <f>IFERROR(__xludf.DUMMYFUNCTION("""COMPUTED_VALUE"""),"TNDHLTK22_202610515")</f>
        <v>TNDHLTK22_202610515</v>
      </c>
    </row>
    <row r="152">
      <c r="A152" s="10">
        <f>IFERROR(__xludf.DUMMYFUNCTION("""COMPUTED_VALUE"""),46024.80434416667)</f>
        <v>46024.80434</v>
      </c>
      <c r="B152" s="9" t="str">
        <f>IFERROR(__xludf.DUMMYFUNCTION("""COMPUTED_VALUE"""),"nnampro2403@gmail.com")</f>
        <v>nnampro2403@gmail.com</v>
      </c>
      <c r="C152" s="9">
        <f>IFERROR(__xludf.DUMMYFUNCTION("""COMPUTED_VALUE"""),1.22001208E8)</f>
        <v>122001208</v>
      </c>
      <c r="D152" s="9" t="str">
        <f>IFERROR(__xludf.DUMMYFUNCTION("""COMPUTED_VALUE"""),"Lê Trần Nam")</f>
        <v>Lê Trần Nam</v>
      </c>
      <c r="E152" s="9" t="str">
        <f>IFERROR(__xludf.DUMMYFUNCTION("""COMPUTED_VALUE"""),"0395834760")</f>
        <v>0395834760</v>
      </c>
      <c r="F152" s="9" t="str">
        <f>IFERROR(__xludf.DUMMYFUNCTION("""COMPUTED_VALUE"""),"22CT112")</f>
        <v>22CT112</v>
      </c>
      <c r="G152" s="9" t="str">
        <f>IFERROR(__xludf.DUMMYFUNCTION("""COMPUTED_VALUE"""),"Thực hiện đồ án tốt nghiệp")</f>
        <v>Thực hiện đồ án tốt nghiệp</v>
      </c>
      <c r="H152" s="9" t="str">
        <f>IFERROR(__xludf.DUMMYFUNCTION("""COMPUTED_VALUE"""),"Nguyễn Minh Phúc")</f>
        <v>Nguyễn Minh Phúc</v>
      </c>
      <c r="I152" s="9"/>
      <c r="J152" s="9" t="str">
        <f>IFERROR(__xludf.DUMMYFUNCTION("""COMPUTED_VALUE"""),"Xây dựng mô hình phân tích và đánh giá kỹ năng mềm của sinh viên dựa trên dữ liệu học tập và hoạt động nhóm")</f>
        <v>Xây dựng mô hình phân tích và đánh giá kỹ năng mềm của sinh viên dựa trên dữ liệu học tập và hoạt động nhóm</v>
      </c>
      <c r="K152" s="9" t="str">
        <f>IFERROR(__xludf.DUMMYFUNCTION("""COMPUTED_VALUE"""),"Xây dựng mô hình phân tích và đánh giá kỹ năng mềm của người học, nhằm đo lường mức độ đáp ứng kỹ năng mềm và đề xuất giải pháp nâng cao hiệu quả đào tạo.")</f>
        <v>Xây dựng mô hình phân tích và đánh giá kỹ năng mềm của người học, nhằm đo lường mức độ đáp ứng kỹ năng mềm và đề xuất giải pháp nâng cao hiệu quả đào tạo.</v>
      </c>
      <c r="L152" s="9" t="str">
        <f>IFERROR(__xludf.DUMMYFUNCTION("""COMPUTED_VALUE"""),"Nghiên cứu cơ sở lý luận về kỹ năng mềm; phân tích thực trạng; xây dựng mô hình đánh giá; thu thập và phân tích dữ liệu; đánh giá kết quả và đề xuất giải pháp.")</f>
        <v>Nghiên cứu cơ sở lý luận về kỹ năng mềm; phân tích thực trạng; xây dựng mô hình đánh giá; thu thập và phân tích dữ liệu; đánh giá kết quả và đề xuất giải pháp.</v>
      </c>
      <c r="M152" s="9"/>
      <c r="N152" s="9"/>
      <c r="O152" s="9"/>
      <c r="P152" s="9"/>
      <c r="Q152" s="9" t="str">
        <f>IFERROR(__xludf.DUMMYFUNCTION("""COMPUTED_VALUE"""),"TNDHLTK22_202610515")</f>
        <v>TNDHLTK22_202610515</v>
      </c>
    </row>
    <row r="153">
      <c r="A153" s="10">
        <f>IFERROR(__xludf.DUMMYFUNCTION("""COMPUTED_VALUE"""),46024.856463020835)</f>
        <v>46024.85646</v>
      </c>
      <c r="B153" s="9" t="str">
        <f>IFERROR(__xludf.DUMMYFUNCTION("""COMPUTED_VALUE"""),"tomtung2004@gmail.com")</f>
        <v>tomtung2004@gmail.com</v>
      </c>
      <c r="C153" s="9">
        <f>IFERROR(__xludf.DUMMYFUNCTION("""COMPUTED_VALUE"""),1.22000752E8)</f>
        <v>122000752</v>
      </c>
      <c r="D153" s="9" t="str">
        <f>IFERROR(__xludf.DUMMYFUNCTION("""COMPUTED_VALUE"""),"Nguyễn Tùng Lân")</f>
        <v>Nguyễn Tùng Lân</v>
      </c>
      <c r="E153" s="9" t="str">
        <f>IFERROR(__xludf.DUMMYFUNCTION("""COMPUTED_VALUE"""),"0946793138")</f>
        <v>0946793138</v>
      </c>
      <c r="F153" s="9" t="str">
        <f>IFERROR(__xludf.DUMMYFUNCTION("""COMPUTED_VALUE"""),"22CT114")</f>
        <v>22CT114</v>
      </c>
      <c r="G153" s="9" t="str">
        <f>IFERROR(__xludf.DUMMYFUNCTION("""COMPUTED_VALUE"""),"Thực hiện đồ án tốt nghiệp")</f>
        <v>Thực hiện đồ án tốt nghiệp</v>
      </c>
      <c r="H153" s="9" t="str">
        <f>IFERROR(__xludf.DUMMYFUNCTION("""COMPUTED_VALUE"""),"Hoàng Sỹ Hùng")</f>
        <v>Hoàng Sỹ Hùng</v>
      </c>
      <c r="I153" s="9" t="str">
        <f>IFERROR(__xludf.DUMMYFUNCTION("""COMPUTED_VALUE"""),"Hoàng Sỹ Hùng ")</f>
        <v>Hoàng Sỹ Hùng </v>
      </c>
      <c r="J153" s="9" t="str">
        <f>IFERROR(__xludf.DUMMYFUNCTION("""COMPUTED_VALUE"""),"Hệ thống đặt món và quản lý quy trình nhà hàng")</f>
        <v>Hệ thống đặt món và quản lý quy trình nhà hàng</v>
      </c>
      <c r="K153" s="9" t="str">
        <f>IFERROR(__xludf.DUMMYFUNCTION("""COMPUTED_VALUE"""),"Xây dựng hệ thống quản lý nhà hàng thông minh, tối ưu hóa quy trình phục vụ bằng công nghệ Real-time và trợ lý ảo AI nhằm tăng tốc độ tương tác cho cả khách hàng lẫn nhà quản lý.")</f>
        <v>Xây dựng hệ thống quản lý nhà hàng thông minh, tối ưu hóa quy trình phục vụ bằng công nghệ Real-time và trợ lý ảo AI nhằm tăng tốc độ tương tác cho cả khách hàng lẫn nhà quản lý.</v>
      </c>
      <c r="L153" s="9" t="str">
        <f>IFERROR(__xludf.DUMMYFUNCTION("""COMPUTED_VALUE"""),"Số hóa quy trình Real-time: Triển khai luồng trạng thái món ăn tự động (Chờ xác nhận → Chế biến → Xong) đồng bộ tức thì trên đa thiết bị (Khách, Bếp, Quản lý).
Tích hợp Trợ lý ảo AI (NLP): Phát triển bộ lọc ngôn ngữ tự nhiên để xử lý các câu lệnh đặc thù"&amp;":
Với Khách hàng: AI phân tích yêu cầu để gợi ý thực đơn (Ví dụ: ""Món nào cay và có hải sản?"", ""Top món bán chạy nhất"").
Với Quản lý/Nhân viên: AI truy xuất nhanh dữ liệu hệ thống thông qua khẩu lệnh (Ví dụ: ""Doanh thu hôm nay là bao nhiêu?"", ""Tí"&amp;"nh tiền bàn số 4"").
Quản trị &amp; Phân quyền: Xây dựng Dashboard quản lý kho, nhân sự và báo cáo doanh thu dựa trên dữ liệu thực tế từ hệ thống.
Hệ thống QR Order: Thiết lập định danh bàn thông qua mã QR, tích hợp thanh toán điện tử.")</f>
        <v>Số hóa quy trình Real-time: Triển khai luồng trạng thái món ăn tự động (Chờ xác nhận → Chế biến → Xong) đồng bộ tức thì trên đa thiết bị (Khách, Bếp, Quản lý).
Tích hợp Trợ lý ảo AI (NLP): Phát triển bộ lọc ngôn ngữ tự nhiên để xử lý các câu lệnh đặc thù:
Với Khách hàng: AI phân tích yêu cầu để gợi ý thực đơn (Ví dụ: "Món nào cay và có hải sản?", "Top món bán chạy nhất").
Với Quản lý/Nhân viên: AI truy xuất nhanh dữ liệu hệ thống thông qua khẩu lệnh (Ví dụ: "Doanh thu hôm nay là bao nhiêu?", "Tính tiền bàn số 4").
Quản trị &amp; Phân quyền: Xây dựng Dashboard quản lý kho, nhân sự và báo cáo doanh thu dựa trên dữ liệu thực tế từ hệ thống.
Hệ thống QR Order: Thiết lập định danh bàn thông qua mã QR, tích hợp thanh toán điện tử.</v>
      </c>
      <c r="M153" s="9"/>
      <c r="N153" s="9"/>
      <c r="O153" s="9"/>
      <c r="P153" s="9"/>
      <c r="Q153" s="9" t="str">
        <f>IFERROR(__xludf.DUMMYFUNCTION("""COMPUTED_VALUE"""),"TNDHLTK22_202610515")</f>
        <v>TNDHLTK22_202610515</v>
      </c>
    </row>
    <row r="154">
      <c r="A154" s="10">
        <f>IFERROR(__xludf.DUMMYFUNCTION("""COMPUTED_VALUE"""),46024.85688659722)</f>
        <v>46024.85689</v>
      </c>
      <c r="B154" s="9" t="str">
        <f>IFERROR(__xludf.DUMMYFUNCTION("""COMPUTED_VALUE"""),"ducbinh243@gmail.com")</f>
        <v>ducbinh243@gmail.com</v>
      </c>
      <c r="C154" s="9">
        <f>IFERROR(__xludf.DUMMYFUNCTION("""COMPUTED_VALUE"""),1.22000102E8)</f>
        <v>122000102</v>
      </c>
      <c r="D154" s="9" t="str">
        <f>IFERROR(__xludf.DUMMYFUNCTION("""COMPUTED_VALUE"""),"Nguyễn Cao Đức Bình")</f>
        <v>Nguyễn Cao Đức Bình</v>
      </c>
      <c r="E154" s="9" t="str">
        <f>IFERROR(__xludf.DUMMYFUNCTION("""COMPUTED_VALUE"""),"0868403107")</f>
        <v>0868403107</v>
      </c>
      <c r="F154" s="9" t="str">
        <f>IFERROR(__xludf.DUMMYFUNCTION("""COMPUTED_VALUE"""),"22CT114")</f>
        <v>22CT114</v>
      </c>
      <c r="G154" s="9" t="str">
        <f>IFERROR(__xludf.DUMMYFUNCTION("""COMPUTED_VALUE"""),"Thực hiện đồ án tốt nghiệp")</f>
        <v>Thực hiện đồ án tốt nghiệp</v>
      </c>
      <c r="H154" s="9" t="str">
        <f>IFERROR(__xludf.DUMMYFUNCTION("""COMPUTED_VALUE"""),"Hoàng Sỹ Hùng")</f>
        <v>Hoàng Sỹ Hùng</v>
      </c>
      <c r="I154" s="9" t="str">
        <f>IFERROR(__xludf.DUMMYFUNCTION("""COMPUTED_VALUE"""),"Hoàng Sỹ Hùng")</f>
        <v>Hoàng Sỹ Hùng</v>
      </c>
      <c r="J154" s="9" t="str">
        <f>IFERROR(__xludf.DUMMYFUNCTION("""COMPUTED_VALUE"""),"Hệ thống đặt món và quản lý quy trình nhà hàng")</f>
        <v>Hệ thống đặt món và quản lý quy trình nhà hàng</v>
      </c>
      <c r="K154" s="9" t="str">
        <f>IFERROR(__xludf.DUMMYFUNCTION("""COMPUTED_VALUE"""),"Xây dựng hệ thống quản lý nhà hàng thông minh, tối ưu hóa quy trình phục vụ bằng công nghệ Real-time và trợ lý ảo AI nhằm tăng tốc độ tương tác cho cả khách hàng lẫn nhà quản lý.")</f>
        <v>Xây dựng hệ thống quản lý nhà hàng thông minh, tối ưu hóa quy trình phục vụ bằng công nghệ Real-time và trợ lý ảo AI nhằm tăng tốc độ tương tác cho cả khách hàng lẫn nhà quản lý.</v>
      </c>
      <c r="L154" s="9" t="str">
        <f>IFERROR(__xludf.DUMMYFUNCTION("""COMPUTED_VALUE"""),"Số hóa quy trình Real-time: Triển khai luồng trạng thái món ăn tự động (Chờ xác nhận → Chế biến → Xong) đồng bộ tức thì trên đa thiết bị (Khách, Bếp, Quản lý).
Tích hợp Trợ lý ảo AI (NLP): Phát triển bộ lọc ngôn ngữ tự nhiên để xử lý các câu lệnh đặc thù"&amp;":
Với Khách hàng: AI phân tích yêu cầu để gợi ý thực đơn (Ví dụ: ""Món nào cay và có hải sản?"", ""Top món bán chạy nhất"").
Với Quản lý/Nhân viên: AI truy xuất nhanh dữ liệu hệ thống thông qua khẩu lệnh (Ví dụ: ""Doanh thu hôm nay là bao nhiêu?"", ""Tí"&amp;"nh tiền bàn số 4"").
Quản trị &amp; Phân quyền: Xây dựng Dashboard quản lý kho, nhân sự và báo cáo doanh thu dựa trên dữ liệu thực tế từ hệ thống.
Hệ thống QR Order: Thiết lập định danh bàn thông qua mã QR, tích hợp thanh toán điện tử.")</f>
        <v>Số hóa quy trình Real-time: Triển khai luồng trạng thái món ăn tự động (Chờ xác nhận → Chế biến → Xong) đồng bộ tức thì trên đa thiết bị (Khách, Bếp, Quản lý).
Tích hợp Trợ lý ảo AI (NLP): Phát triển bộ lọc ngôn ngữ tự nhiên để xử lý các câu lệnh đặc thù:
Với Khách hàng: AI phân tích yêu cầu để gợi ý thực đơn (Ví dụ: "Món nào cay và có hải sản?", "Top món bán chạy nhất").
Với Quản lý/Nhân viên: AI truy xuất nhanh dữ liệu hệ thống thông qua khẩu lệnh (Ví dụ: "Doanh thu hôm nay là bao nhiêu?", "Tính tiền bàn số 4").
Quản trị &amp; Phân quyền: Xây dựng Dashboard quản lý kho, nhân sự và báo cáo doanh thu dựa trên dữ liệu thực tế từ hệ thống.
Hệ thống QR Order: Thiết lập định danh bàn thông qua mã QR, tích hợp thanh toán điện tử.</v>
      </c>
      <c r="M154" s="9"/>
      <c r="N154" s="9"/>
      <c r="O154" s="9"/>
      <c r="P154" s="9"/>
      <c r="Q154" s="9" t="str">
        <f>IFERROR(__xludf.DUMMYFUNCTION("""COMPUTED_VALUE"""),"TNDHLTK22_202610515")</f>
        <v>TNDHLTK22_202610515</v>
      </c>
    </row>
    <row r="155">
      <c r="A155" s="10">
        <f>IFERROR(__xludf.DUMMYFUNCTION("""COMPUTED_VALUE"""),46024.86645888889)</f>
        <v>46024.86646</v>
      </c>
      <c r="B155" s="9" t="str">
        <f>IFERROR(__xludf.DUMMYFUNCTION("""COMPUTED_VALUE"""),"navinservicesnv000@gmail.com")</f>
        <v>navinservicesnv000@gmail.com</v>
      </c>
      <c r="C155" s="9">
        <f>IFERROR(__xludf.DUMMYFUNCTION("""COMPUTED_VALUE"""),1.22001458E8)</f>
        <v>122001458</v>
      </c>
      <c r="D155" s="9" t="str">
        <f>IFERROR(__xludf.DUMMYFUNCTION("""COMPUTED_VALUE"""),"Bùi Minh Cường")</f>
        <v>Bùi Minh Cường</v>
      </c>
      <c r="E155" s="9" t="str">
        <f>IFERROR(__xludf.DUMMYFUNCTION("""COMPUTED_VALUE"""),"0365646109")</f>
        <v>0365646109</v>
      </c>
      <c r="F155" s="9" t="str">
        <f>IFERROR(__xludf.DUMMYFUNCTION("""COMPUTED_VALUE"""),"22CT115")</f>
        <v>22CT115</v>
      </c>
      <c r="G155" s="9" t="str">
        <f>IFERROR(__xludf.DUMMYFUNCTION("""COMPUTED_VALUE"""),"Thực hiện đồ án tốt nghiệp")</f>
        <v>Thực hiện đồ án tốt nghiệp</v>
      </c>
      <c r="H155" s="9" t="str">
        <f>IFERROR(__xludf.DUMMYFUNCTION("""COMPUTED_VALUE"""),"Nguyễn Minh Sơn")</f>
        <v>Nguyễn Minh Sơn</v>
      </c>
      <c r="I155" s="9"/>
      <c r="J155" s="9" t="str">
        <f>IFERROR(__xludf.DUMMYFUNCTION("""COMPUTED_VALUE"""),"Xây dựng Hệ thống CRM AI Agents cho doanh nghiệp")</f>
        <v>Xây dựng Hệ thống CRM AI Agents cho doanh nghiệp</v>
      </c>
      <c r="K155" s="9" t="str">
        <f>IFERROR(__xludf.DUMMYFUNCTION("""COMPUTED_VALUE"""),"Xây dựng một hệ thống CRM tích hợp AI Agents nhằm tự động hóa và tối ưu toàn bộ quy trình quản lý khách hàng cho doanh nghiệp. Hệ thống hướng tới việc tập trung hóa dữ liệu khách hàng, nâng cao chất lượng chăm sóc và tương tác, hỗ trợ đội ngũ kinh doanh –"&amp;" marketing – chăm sóc khách hàng ra quyết định nhanh và chính xác hơn. Thông qua AI Agents, CRM không chỉ ghi nhận và lưu trữ thông tin mà còn có khả năng phân tích hành vi, dự đoán nhu cầu, cá nhân hóa kịch bản tương tác, từ đó gia tăng tỷ lệ chuyển đổi,"&amp;" giữ chân khách hàng và tối đa hóa giá trị vòng đời khách hàng, đồng thời giảm chi phí vận hành và phụ thuộc vào thao tác thủ công.")</f>
        <v>Xây dựng một hệ thống CRM tích hợp AI Agents nhằm tự động hóa và tối ưu toàn bộ quy trình quản lý khách hàng cho doanh nghiệp. Hệ thống hướng tới việc tập trung hóa dữ liệu khách hàng, nâng cao chất lượng chăm sóc và tương tác, hỗ trợ đội ngũ kinh doanh – marketing – chăm sóc khách hàng ra quyết định nhanh và chính xác hơn. Thông qua AI Agents, CRM không chỉ ghi nhận và lưu trữ thông tin mà còn có khả năng phân tích hành vi, dự đoán nhu cầu, cá nhân hóa kịch bản tương tác, từ đó gia tăng tỷ lệ chuyển đổi, giữ chân khách hàng và tối đa hóa giá trị vòng đời khách hàng, đồng thời giảm chi phí vận hành và phụ thuộc vào thao tác thủ công.</v>
      </c>
      <c r="L155" s="9" t="str">
        <f>IFERROR(__xludf.DUMMYFUNCTION("""COMPUTED_VALUE"""),"Triển khai thiết kế và xây dựng nền tảng CRM làm trung tâm dữ liệu, tích hợp AI Agents hoạt động xuyên suốt các kênh tương tác như website, ứng dụng, email, chat và mạng xã hội. Thực hiện chuẩn hóa và đồng bộ dữ liệu khách hàng từ nhiều nguồn, xây dựng hồ"&amp;" sơ khách hàng 360 độ. Phát triển các AI Agents đảm nhiệm các vai trò như tiếp nhận và phân loại khách hàng tiềm năng, tự động tư vấn và trả lời, theo dõi hành trình khách hàng, nhắc việc và hỗ trợ nhân sự kinh doanh, phân tích dữ liệu và đề xuất hành độn"&amp;"g tiếp theo. Đồng thời, xây dựng hệ thống báo cáo và dashboard thông minh phục vụ quản lý, đảm bảo khả năng mở rộng, bảo mật dữ liệu, tích hợp linh hoạt với các hệ thống hiện có và đáp ứng yêu cầu vận hành thực tế của doanh nghiệp.")</f>
        <v>Triển khai thiết kế và xây dựng nền tảng CRM làm trung tâm dữ liệu, tích hợp AI Agents hoạt động xuyên suốt các kênh tương tác như website, ứng dụng, email, chat và mạng xã hội. Thực hiện chuẩn hóa và đồng bộ dữ liệu khách hàng từ nhiều nguồn, xây dựng hồ sơ khách hàng 360 độ. Phát triển các AI Agents đảm nhiệm các vai trò như tiếp nhận và phân loại khách hàng tiềm năng, tự động tư vấn và trả lời, theo dõi hành trình khách hàng, nhắc việc và hỗ trợ nhân sự kinh doanh, phân tích dữ liệu và đề xuất hành động tiếp theo. Đồng thời, xây dựng hệ thống báo cáo và dashboard thông minh phục vụ quản lý, đảm bảo khả năng mở rộng, bảo mật dữ liệu, tích hợp linh hoạt với các hệ thống hiện có và đáp ứng yêu cầu vận hành thực tế của doanh nghiệp.</v>
      </c>
      <c r="M155" s="9" t="str">
        <f>IFERROR(__xludf.DUMMYFUNCTION("""COMPUTED_VALUE"""),"Nhóm bao gồm 2 thành viên")</f>
        <v>Nhóm bao gồm 2 thành viên</v>
      </c>
      <c r="N155" s="9"/>
      <c r="O155" s="9"/>
      <c r="P155" s="9"/>
      <c r="Q155" s="9" t="str">
        <f>IFERROR(__xludf.DUMMYFUNCTION("""COMPUTED_VALUE"""),"TNDHLTK22_202610515")</f>
        <v>TNDHLTK22_202610515</v>
      </c>
    </row>
    <row r="156">
      <c r="A156" s="10">
        <f>IFERROR(__xludf.DUMMYFUNCTION("""COMPUTED_VALUE"""),46024.868346724536)</f>
        <v>46024.86835</v>
      </c>
      <c r="B156" s="9" t="str">
        <f>IFERROR(__xludf.DUMMYFUNCTION("""COMPUTED_VALUE"""),"minhchu12134@gmail.com")</f>
        <v>minhchu12134@gmail.com</v>
      </c>
      <c r="C156" s="9">
        <f>IFERROR(__xludf.DUMMYFUNCTION("""COMPUTED_VALUE"""),1.22000253E8)</f>
        <v>122000253</v>
      </c>
      <c r="D156" s="9" t="str">
        <f>IFERROR(__xludf.DUMMYFUNCTION("""COMPUTED_VALUE"""),"Nguyễn Đoàn Nhật Minh")</f>
        <v>Nguyễn Đoàn Nhật Minh</v>
      </c>
      <c r="E156" s="9" t="str">
        <f>IFERROR(__xludf.DUMMYFUNCTION("""COMPUTED_VALUE"""),"0333849252")</f>
        <v>0333849252</v>
      </c>
      <c r="F156" s="9" t="str">
        <f>IFERROR(__xludf.DUMMYFUNCTION("""COMPUTED_VALUE"""),"22CT115")</f>
        <v>22CT115</v>
      </c>
      <c r="G156" s="9" t="str">
        <f>IFERROR(__xludf.DUMMYFUNCTION("""COMPUTED_VALUE"""),"Thực hiện đồ án tốt nghiệp")</f>
        <v>Thực hiện đồ án tốt nghiệp</v>
      </c>
      <c r="H156" s="9" t="str">
        <f>IFERROR(__xludf.DUMMYFUNCTION("""COMPUTED_VALUE"""),"Nguyễn Minh Sơn")</f>
        <v>Nguyễn Minh Sơn</v>
      </c>
      <c r="I156" s="9"/>
      <c r="J156" s="9" t="str">
        <f>IFERROR(__xludf.DUMMYFUNCTION("""COMPUTED_VALUE"""),"Xây dựng Hệ thống CRM AI Agents cho doanh nghiệp")</f>
        <v>Xây dựng Hệ thống CRM AI Agents cho doanh nghiệp</v>
      </c>
      <c r="K156" s="9" t="str">
        <f>IFERROR(__xludf.DUMMYFUNCTION("""COMPUTED_VALUE"""),"
Xây dựng một hệ thống CRM tích hợp AI Agents nhằm tự động hóa và tối ưu toàn bộ quy trình quản lý khách hàng cho doanh nghiệp. Hệ thống hướng tới việc tập trung hóa dữ liệu khách hàng, nâng cao chất lượng chăm sóc và tương tác, hỗ trợ đội ngũ kinh doanh "&amp;"– marketing – chăm sóc khách hàng ra quyết định nhanh và chính xác hơn. Thông qua AI Agents, CRM không chỉ ghi nhận và lưu trữ thông tin mà còn có khả năng phân tích hành vi, dự đoán nhu cầu, cá nhân hóa kịch bản tương tác, từ đó gia tăng tỷ lệ chuyển đổi"&amp;", giữ chân khách hàng và tối đa hóa giá trị vòng đời khách hàng, đồng thời giảm chi phí vận hành và phụ thuộc vào thao tác thủ công.")</f>
        <v>
Xây dựng một hệ thống CRM tích hợp AI Agents nhằm tự động hóa và tối ưu toàn bộ quy trình quản lý khách hàng cho doanh nghiệp. Hệ thống hướng tới việc tập trung hóa dữ liệu khách hàng, nâng cao chất lượng chăm sóc và tương tác, hỗ trợ đội ngũ kinh doanh – marketing – chăm sóc khách hàng ra quyết định nhanh và chính xác hơn. Thông qua AI Agents, CRM không chỉ ghi nhận và lưu trữ thông tin mà còn có khả năng phân tích hành vi, dự đoán nhu cầu, cá nhân hóa kịch bản tương tác, từ đó gia tăng tỷ lệ chuyển đổi, giữ chân khách hàng và tối đa hóa giá trị vòng đời khách hàng, đồng thời giảm chi phí vận hành và phụ thuộc vào thao tác thủ công.</v>
      </c>
      <c r="L156" s="9" t="str">
        <f>IFERROR(__xludf.DUMMYFUNCTION("""COMPUTED_VALUE"""),"
Triển khai thiết kế và xây dựng nền tảng CRM làm trung tâm dữ liệu, tích hợp AI Agents hoạt động xuyên suốt các kênh tương tác như website, ứng dụng, email, chat và mạng xã hội. Thực hiện chuẩn hóa và đồng bộ dữ liệu khách hàng từ nhiều nguồn, xây dựng h"&amp;"ồ sơ khách hàng 360 độ. Phát triển các AI Agents đảm nhiệm các vai trò như tiếp nhận và phân loại khách hàng tiềm năng, tự động tư vấn và trả lời, theo dõi hành trình khách hàng, nhắc việc và hỗ trợ nhân sự kinh doanh, phân tích dữ liệu và đề xuất hành độ"&amp;"ng tiếp theo. Đồng thời, xây dựng hệ thống báo cáo và dashboard thông minh phục vụ quản lý, đảm bảo khả năng mở rộng, bảo mật dữ liệu, tích hợp linh hoạt với các hệ thống hiện có và đáp ứng yêu cầu vận hành thực tế của doanh nghiệp.")</f>
        <v>
Triển khai thiết kế và xây dựng nền tảng CRM làm trung tâm dữ liệu, tích hợp AI Agents hoạt động xuyên suốt các kênh tương tác như website, ứng dụng, email, chat và mạng xã hội. Thực hiện chuẩn hóa và đồng bộ dữ liệu khách hàng từ nhiều nguồn, xây dựng hồ sơ khách hàng 360 độ. Phát triển các AI Agents đảm nhiệm các vai trò như tiếp nhận và phân loại khách hàng tiềm năng, tự động tư vấn và trả lời, theo dõi hành trình khách hàng, nhắc việc và hỗ trợ nhân sự kinh doanh, phân tích dữ liệu và đề xuất hành động tiếp theo. Đồng thời, xây dựng hệ thống báo cáo và dashboard thông minh phục vụ quản lý, đảm bảo khả năng mở rộng, bảo mật dữ liệu, tích hợp linh hoạt với các hệ thống hiện có và đáp ứng yêu cầu vận hành thực tế của doanh nghiệp.</v>
      </c>
      <c r="M156" s="9" t="str">
        <f>IFERROR(__xludf.DUMMYFUNCTION("""COMPUTED_VALUE"""),"
Nhóm bao gồm 2 thành viên")</f>
        <v>
Nhóm bao gồm 2 thành viên</v>
      </c>
      <c r="N156" s="9"/>
      <c r="O156" s="9"/>
      <c r="P156" s="9"/>
      <c r="Q156" s="9" t="str">
        <f>IFERROR(__xludf.DUMMYFUNCTION("""COMPUTED_VALUE"""),"TNDHLTK22_202610515")</f>
        <v>TNDHLTK22_202610515</v>
      </c>
    </row>
    <row r="157">
      <c r="A157" s="10">
        <f>IFERROR(__xludf.DUMMYFUNCTION("""COMPUTED_VALUE"""),46024.90270841435)</f>
        <v>46024.90271</v>
      </c>
      <c r="B157" s="9" t="str">
        <f>IFERROR(__xludf.DUMMYFUNCTION("""COMPUTED_VALUE"""),"trinhkhoi.lhu@gmail.com")</f>
        <v>trinhkhoi.lhu@gmail.com</v>
      </c>
      <c r="C157" s="9">
        <f>IFERROR(__xludf.DUMMYFUNCTION("""COMPUTED_VALUE"""),1.22000942E8)</f>
        <v>122000942</v>
      </c>
      <c r="D157" s="9" t="str">
        <f>IFERROR(__xludf.DUMMYFUNCTION("""COMPUTED_VALUE"""),"Trịnh Khôi")</f>
        <v>Trịnh Khôi</v>
      </c>
      <c r="E157" s="9" t="str">
        <f>IFERROR(__xludf.DUMMYFUNCTION("""COMPUTED_VALUE"""),"0837512491")</f>
        <v>0837512491</v>
      </c>
      <c r="F157" s="9" t="str">
        <f>IFERROR(__xludf.DUMMYFUNCTION("""COMPUTED_VALUE"""),"22CT113")</f>
        <v>22CT113</v>
      </c>
      <c r="G157" s="9" t="str">
        <f>IFERROR(__xludf.DUMMYFUNCTION("""COMPUTED_VALUE"""),"Thực hiện đồ án tốt nghiệp")</f>
        <v>Thực hiện đồ án tốt nghiệp</v>
      </c>
      <c r="H157" s="9" t="str">
        <f>IFERROR(__xludf.DUMMYFUNCTION("""COMPUTED_VALUE"""),"Nguyễn Minh Phúc")</f>
        <v>Nguyễn Minh Phúc</v>
      </c>
      <c r="I157" s="9"/>
      <c r="J157" s="9" t="str">
        <f>IFERROR(__xludf.DUMMYFUNCTION("""COMPUTED_VALUE"""),"Xây dựng ứng dụng điện thoại di động học Kanji")</f>
        <v>Xây dựng ứng dụng điện thoại di động học Kanji</v>
      </c>
      <c r="K157" s="9" t="str">
        <f>IFERROR(__xludf.DUMMYFUNCTION("""COMPUTED_VALUE"""),"Hoàn thiện ứng dụng di động về học chữ hán tự tiếng nhật (Áp dụng những tính năng mà các app hiện tại chưa có)")</f>
        <v>Hoàn thiện ứng dụng di động về học chữ hán tự tiếng nhật (Áp dụng những tính năng mà các app hiện tại chưa có)</v>
      </c>
      <c r="L157" s="9" t="str">
        <f>IFERROR(__xludf.DUMMYFUNCTION("""COMPUTED_VALUE"""),"Tuần 1: Khảo sát đề tài, so sánh các ứng dụng hiện có.
Tuần 2: Tìm hiểu nghiên cứu các tính năng mới.
Tuần 3-5: Tìm hiểu công nghệ, tiến hành xây dựng database.
Tuần 6-7: Xây dựng ứng dụng.
Tuần 8: Viết báo cáo.")</f>
        <v>Tuần 1: Khảo sát đề tài, so sánh các ứng dụng hiện có.
Tuần 2: Tìm hiểu nghiên cứu các tính năng mới.
Tuần 3-5: Tìm hiểu công nghệ, tiến hành xây dựng database.
Tuần 6-7: Xây dựng ứng dụng.
Tuần 8: Viết báo cáo.</v>
      </c>
      <c r="M157" s="9"/>
      <c r="N157" s="9"/>
      <c r="O157" s="9"/>
      <c r="P157" s="9"/>
      <c r="Q157" s="9" t="str">
        <f>IFERROR(__xludf.DUMMYFUNCTION("""COMPUTED_VALUE"""),"TNDHLTK22_202610515")</f>
        <v>TNDHLTK22_202610515</v>
      </c>
    </row>
    <row r="158">
      <c r="A158" s="10">
        <f>IFERROR(__xludf.DUMMYFUNCTION("""COMPUTED_VALUE"""),46024.91557640047)</f>
        <v>46024.91558</v>
      </c>
      <c r="B158" s="9" t="str">
        <f>IFERROR(__xludf.DUMMYFUNCTION("""COMPUTED_VALUE"""),"nthoangkhang204@gmail.com")</f>
        <v>nthoangkhang204@gmail.com</v>
      </c>
      <c r="C158" s="9">
        <f>IFERROR(__xludf.DUMMYFUNCTION("""COMPUTED_VALUE"""),1.22000438E8)</f>
        <v>122000438</v>
      </c>
      <c r="D158" s="9" t="str">
        <f>IFERROR(__xludf.DUMMYFUNCTION("""COMPUTED_VALUE"""),"Nguyễn Trương Hoàng Khang")</f>
        <v>Nguyễn Trương Hoàng Khang</v>
      </c>
      <c r="E158" s="9" t="str">
        <f>IFERROR(__xludf.DUMMYFUNCTION("""COMPUTED_VALUE"""),"0817276254")</f>
        <v>0817276254</v>
      </c>
      <c r="F158" s="9" t="str">
        <f>IFERROR(__xludf.DUMMYFUNCTION("""COMPUTED_VALUE"""),"22CT114")</f>
        <v>22CT114</v>
      </c>
      <c r="G158" s="9" t="str">
        <f>IFERROR(__xludf.DUMMYFUNCTION("""COMPUTED_VALUE"""),"Thực hiện đồ án tốt nghiệp")</f>
        <v>Thực hiện đồ án tốt nghiệp</v>
      </c>
      <c r="H158" s="9" t="str">
        <f>IFERROR(__xludf.DUMMYFUNCTION("""COMPUTED_VALUE"""),"Bùi Xuân Cảnh")</f>
        <v>Bùi Xuân Cảnh</v>
      </c>
      <c r="I158" s="9"/>
      <c r="J158" s="9" t="str">
        <f>IFERROR(__xludf.DUMMYFUNCTION("""COMPUTED_VALUE"""),"ỨNG DỤNG CHIA SẺ KINH NGHIỆM DU LỊCH")</f>
        <v>ỨNG DỤNG CHIA SẺ KINH NGHIỆM DU LỊCH</v>
      </c>
      <c r="K158" s="9" t="str">
        <f>IFERROR(__xludf.DUMMYFUNCTION("""COMPUTED_VALUE"""),"Xây dựng ứng dụng di động cho phép người dùng chia sẻ, tìm kiếm và tham khảo kinh nghiệm du lịch, hỗ trợ kết nối cộng đồng và cung cấp thông tin hữu ích cho chuyến đi.")</f>
        <v>Xây dựng ứng dụng di động cho phép người dùng chia sẻ, tìm kiếm và tham khảo kinh nghiệm du lịch, hỗ trợ kết nối cộng đồng và cung cấp thông tin hữu ích cho chuyến đi.</v>
      </c>
      <c r="L158" s="9" t="str">
        <f>IFERROR(__xludf.DUMMYFUNCTION("""COMPUTED_VALUE"""),"Phân tích yêu cầu và thiết kế giao diện ứng dụng
Xây dựng chức năng đăng bài, xem bài và tìm kiếm kinh nghiệm du lịch
Quản lý người dùng và nội dung chia sẻ
Kiểm thử và hoàn thiện ứng dụng")</f>
        <v>Phân tích yêu cầu và thiết kế giao diện ứng dụng
Xây dựng chức năng đăng bài, xem bài và tìm kiếm kinh nghiệm du lịch
Quản lý người dùng và nội dung chia sẻ
Kiểm thử và hoàn thiện ứng dụng</v>
      </c>
      <c r="M158" s="9"/>
      <c r="N158" s="9"/>
      <c r="O158" s="9"/>
      <c r="P158" s="9"/>
      <c r="Q158" s="9" t="str">
        <f>IFERROR(__xludf.DUMMYFUNCTION("""COMPUTED_VALUE"""),"TNDHLTK22_202610515")</f>
        <v>TNDHLTK22_202610515</v>
      </c>
    </row>
    <row r="159">
      <c r="A159" s="10">
        <f>IFERROR(__xludf.DUMMYFUNCTION("""COMPUTED_VALUE"""),46024.92002215278)</f>
        <v>46024.92002</v>
      </c>
      <c r="B159" s="9" t="str">
        <f>IFERROR(__xludf.DUMMYFUNCTION("""COMPUTED_VALUE"""),"t.v.q.huy2004@gmail.com")</f>
        <v>t.v.q.huy2004@gmail.com</v>
      </c>
      <c r="C159" s="9">
        <f>IFERROR(__xludf.DUMMYFUNCTION("""COMPUTED_VALUE"""),1.22000357E8)</f>
        <v>122000357</v>
      </c>
      <c r="D159" s="9" t="str">
        <f>IFERROR(__xludf.DUMMYFUNCTION("""COMPUTED_VALUE"""),"Trần Võ Quốc Huy")</f>
        <v>Trần Võ Quốc Huy</v>
      </c>
      <c r="E159" s="9" t="str">
        <f>IFERROR(__xludf.DUMMYFUNCTION("""COMPUTED_VALUE"""),"0825493712")</f>
        <v>0825493712</v>
      </c>
      <c r="F159" s="9" t="str">
        <f>IFERROR(__xludf.DUMMYFUNCTION("""COMPUTED_VALUE"""),"22CT111")</f>
        <v>22CT111</v>
      </c>
      <c r="G159" s="9" t="str">
        <f>IFERROR(__xludf.DUMMYFUNCTION("""COMPUTED_VALUE"""),"Thực hiện đồ án tốt nghiệp")</f>
        <v>Thực hiện đồ án tốt nghiệp</v>
      </c>
      <c r="H159" s="9" t="str">
        <f>IFERROR(__xludf.DUMMYFUNCTION("""COMPUTED_VALUE"""),"Nguyễn Minh Phúc")</f>
        <v>Nguyễn Minh Phúc</v>
      </c>
      <c r="I159" s="9"/>
      <c r="J159" s="9" t="str">
        <f>IFERROR(__xludf.DUMMYFUNCTION("""COMPUTED_VALUE"""),"XÂY DỰNG NGÂN HÀNG BÀI TẬP LẬP TRÌNH  THEO CẤP ĐỘ ĐỂ PHỤC VỤ HỆ THỐNG GỢI Ý  CÁ NHÂN HÓA")</f>
        <v>XÂY DỰNG NGÂN HÀNG BÀI TẬP LẬP TRÌNH  THEO CẤP ĐỘ ĐỂ PHỤC VỤ HỆ THỐNG GỢI Ý  CÁ NHÂN HÓA</v>
      </c>
      <c r="K159" s="9" t="str">
        <f>IFERROR(__xludf.DUMMYFUNCTION("""COMPUTED_VALUE"""),"Mục tiêu của đề tài:
• Xây dựng một ngân hàng bài tập lập trình chuẩn hóa, phân loại theo cấp độ,
phục vụ nhu cầu học tập cá nhân hóa.
• Phát triển hệ thống API để truy vấn bài tập và tích hợp thuật toán gợi ý dựa
trên dữ liệu người dùng.
• Cung cấp giao "&amp;"diện web đơn giản, hiện đại, hỗ trợ tìm kiếm và hiển thị bài
tập theo yêu cầu.
Kết quả của đề tài:
• Ngân hàng bài tập gồm 60 bài lập trình, mỗi bài có metadata đầy đủ (mô tả,
cấp độ, tags, input/output mẫu, gợi ý giải).
• Hệ thống lưu trữ dữ liệu bài tập"&amp;" trong SQL Server, hỗ trợ truy vấn nhanh
qua API RESTful (Flask).
• Giao diện web (HTML/CSS với Bootstrap) cho phép người dùng tìm kiếm bài
tập theo cấp độ, tags, và nhận gợi ý cá nhân hóa dựa trên lịch sử làm bài
(mô phỏng).
• Tài liệu hướng dẫn chi tiết"&amp;" về cấu trúc bài tập, cách phân loại cấp độ, và cách sử dụng hệ thống")</f>
        <v>Mục tiêu của đề tài:
• Xây dựng một ngân hàng bài tập lập trình chuẩn hóa, phân loại theo cấp độ,
phục vụ nhu cầu học tập cá nhân hóa.
• Phát triển hệ thống API để truy vấn bài tập và tích hợp thuật toán gợi ý dựa
trên dữ liệu người dùng.
• Cung cấp giao diện web đơn giản, hiện đại, hỗ trợ tìm kiếm và hiển thị bài
tập theo yêu cầu.
Kết quả của đề tài:
• Ngân hàng bài tập gồm 60 bài lập trình, mỗi bài có metadata đầy đủ (mô tả,
cấp độ, tags, input/output mẫu, gợi ý giải).
• Hệ thống lưu trữ dữ liệu bài tập trong SQL Server, hỗ trợ truy vấn nhanh
qua API RESTful (Flask).
• Giao diện web (HTML/CSS với Bootstrap) cho phép người dùng tìm kiếm bài
tập theo cấp độ, tags, và nhận gợi ý cá nhân hóa dựa trên lịch sử làm bài
(mô phỏng).
• Tài liệu hướng dẫn chi tiết về cấu trúc bài tập, cách phân loại cấp độ, và cách sử dụng hệ thống</v>
      </c>
      <c r="L159" s="9" t="str">
        <f>IFERROR(__xludf.DUMMYFUNCTION("""COMPUTED_VALUE"""),"Tóm tắt đề tài
Đề tài tập trung vào việc xây dựng một ngân hàng bài tập lập trình (60 bài, phân
chia thành 3 cấp độ: Beginner, Intermediate, Advanced) sử dụng ngôn ngữ Python,
kết hợp với hệ thống gợi ý cá nhân hóa dựa trên trí tuệ nhân tạo. Hệ thống cho "&amp;"phép
lưu trữ bài tập trong cơ sở dữ liệu SQL Server, cung cấp API RESTful để truy vấn
bài tập theo cấp độ và từ khóa, đồng thời tích hợp thuật toán gợi ý đơn giản (dựa
trên tags và lịch sử người dùng). Kết quả mong đợi là một hệ thống hỗ trợ học lập
trình"&amp;" hiệu quả, giúp sinh viên cải thiện kỹ năng qua các bài tập phù hợp trình độ, với
giao diện hiện đại và dễ sử dụng.")</f>
        <v>Tóm tắt đề tài
Đề tài tập trung vào việc xây dựng một ngân hàng bài tập lập trình (60 bài, phân
chia thành 3 cấp độ: Beginner, Intermediate, Advanced) sử dụng ngôn ngữ Python,
kết hợp với hệ thống gợi ý cá nhân hóa dựa trên trí tuệ nhân tạo. Hệ thống cho phép
lưu trữ bài tập trong cơ sở dữ liệu SQL Server, cung cấp API RESTful để truy vấn
bài tập theo cấp độ và từ khóa, đồng thời tích hợp thuật toán gợi ý đơn giản (dựa
trên tags và lịch sử người dùng). Kết quả mong đợi là một hệ thống hỗ trợ học lập
trình hiệu quả, giúp sinh viên cải thiện kỹ năng qua các bài tập phù hợp trình độ, với
giao diện hiện đại và dễ sử dụng.</v>
      </c>
      <c r="M159" s="9" t="str">
        <f>IFERROR(__xludf.DUMMYFUNCTION("""COMPUTED_VALUE"""),"Không có ghi chú")</f>
        <v>Không có ghi chú</v>
      </c>
      <c r="N159" s="9"/>
      <c r="O159" s="9"/>
      <c r="P159" s="9"/>
      <c r="Q159" s="9" t="str">
        <f>IFERROR(__xludf.DUMMYFUNCTION("""COMPUTED_VALUE"""),"TNDHLTK22_202610515")</f>
        <v>TNDHLTK22_202610515</v>
      </c>
    </row>
    <row r="160">
      <c r="A160" s="10">
        <f>IFERROR(__xludf.DUMMYFUNCTION("""COMPUTED_VALUE"""),46024.92975773149)</f>
        <v>46024.92976</v>
      </c>
      <c r="B160" s="9" t="str">
        <f>IFERROR(__xludf.DUMMYFUNCTION("""COMPUTED_VALUE"""),"tranan2571@gmail.com")</f>
        <v>tranan2571@gmail.com</v>
      </c>
      <c r="C160" s="9">
        <f>IFERROR(__xludf.DUMMYFUNCTION("""COMPUTED_VALUE"""),1.22000192E8)</f>
        <v>122000192</v>
      </c>
      <c r="D160" s="9" t="str">
        <f>IFERROR(__xludf.DUMMYFUNCTION("""COMPUTED_VALUE"""),"Trần Nguyễn An")</f>
        <v>Trần Nguyễn An</v>
      </c>
      <c r="E160" s="9" t="str">
        <f>IFERROR(__xludf.DUMMYFUNCTION("""COMPUTED_VALUE"""),"0702872560")</f>
        <v>0702872560</v>
      </c>
      <c r="F160" s="9" t="str">
        <f>IFERROR(__xludf.DUMMYFUNCTION("""COMPUTED_VALUE"""),"22CT115")</f>
        <v>22CT115</v>
      </c>
      <c r="G160" s="9" t="str">
        <f>IFERROR(__xludf.DUMMYFUNCTION("""COMPUTED_VALUE"""),"Thực hiện đồ án tốt nghiệp")</f>
        <v>Thực hiện đồ án tốt nghiệp</v>
      </c>
      <c r="H160" s="9" t="str">
        <f>IFERROR(__xludf.DUMMYFUNCTION("""COMPUTED_VALUE"""),"Nguyễn Vũ Duy Quang")</f>
        <v>Nguyễn Vũ Duy Quang</v>
      </c>
      <c r="I160" s="9"/>
      <c r="J160" s="9" t="str">
        <f>IFERROR(__xludf.DUMMYFUNCTION("""COMPUTED_VALUE"""),"Xây dựng hệ thống chứng nhận hóa đơn/hợp đồng điện tử trên nền tảng blockchain cho hộ kinh doanh nhỏ lẻ")</f>
        <v>Xây dựng hệ thống chứng nhận hóa đơn/hợp đồng điện tử trên nền tảng blockchain cho hộ kinh doanh nhỏ lẻ</v>
      </c>
      <c r="K160" s="9" t="str">
        <f>IFERROR(__xludf.DUMMYFUNCTION("""COMPUTED_VALUE"""),"Giúp người bán hàng online hay chủ tiệm tạp hóa có thể ký hợp đồng điện tử an toàn tuyệt đối như các tập đoàn lớn, nhưng với chi phí rẻ và thao tác đơn giản.")</f>
        <v>Giúp người bán hàng online hay chủ tiệm tạp hóa có thể ký hợp đồng điện tử an toàn tuyệt đối như các tập đoàn lớn, nhưng với chi phí rẻ và thao tác đơn giản.</v>
      </c>
      <c r="L160" s="9" t="str">
        <f>IFERROR(__xludf.DUMMYFUNCTION("""COMPUTED_VALUE"""),"1. Phần Nghiên cứu &amp; Lý thuyết
​Tìm hiểu cách vận hành của Blockchain (công nghệ lưu trữ không thể sửa xóa).
​Tìm hiểu về Chữ ký số và Thuật toán băm (cách tạo ra ""vân tay điện tử"" duy nhất cho mỗi file hợp đồng).
​2. Phần Xây dựng ""Lõi"" Blockchain (S"&amp;"mart Contract)
​Lập trình một Hợp đồng thông minh đóng vai trò là ""người công chứng ảo"".
​Nhiệm vụ của nó: Ghi lại dấu vân tay của file gốc và thời điểm ký vào Blockchain để làm bằng chứng.
​3. Phần Xây dựng Ứng dụng Website (Cho người dùng)
​Làm trang "&amp;"web cho phép người dân/hộ kinh doanh đăng nhập và tải hợp đồng lên.
​Tích hợp Ví điện tử (như MetaMask) để người dùng bấm nút ""Ký"" xác nhận online.
​Làm trang Tra cứu công khai: Ai cũng có thể up file lên để kiểm tra xem file đó là thật hay giả.
​4. Phầ"&amp;"n Kiểm thử &amp; Đánh giá
​Chạy thử quy trình: Ký hợp đồng -&gt; Lưu lên mạng -&gt; Kiểm tra lại.
​Thử nghiệm giả mạo: Cố tình sửa nội dung file gốc để chứng minh hệ thống phát hiện được ngay lập tức.")</f>
        <v>1. Phần Nghiên cứu &amp; Lý thuyết
​Tìm hiểu cách vận hành của Blockchain (công nghệ lưu trữ không thể sửa xóa).
​Tìm hiểu về Chữ ký số và Thuật toán băm (cách tạo ra "vân tay điện tử" duy nhất cho mỗi file hợp đồng).
​2. Phần Xây dựng "Lõi" Blockchain (Smart Contract)
​Lập trình một Hợp đồng thông minh đóng vai trò là "người công chứng ảo".
​Nhiệm vụ của nó: Ghi lại dấu vân tay của file gốc và thời điểm ký vào Blockchain để làm bằng chứng.
​3. Phần Xây dựng Ứng dụng Website (Cho người dùng)
​Làm trang web cho phép người dân/hộ kinh doanh đăng nhập và tải hợp đồng lên.
​Tích hợp Ví điện tử (như MetaMask) để người dùng bấm nút "Ký" xác nhận online.
​Làm trang Tra cứu công khai: Ai cũng có thể up file lên để kiểm tra xem file đó là thật hay giả.
​4. Phần Kiểm thử &amp; Đánh giá
​Chạy thử quy trình: Ký hợp đồng -&gt; Lưu lên mạng -&gt; Kiểm tra lại.
​Thử nghiệm giả mạo: Cố tình sửa nội dung file gốc để chứng minh hệ thống phát hiện được ngay lập tức.</v>
      </c>
      <c r="M160" s="9"/>
      <c r="N160" s="9"/>
      <c r="O160" s="9"/>
      <c r="P160" s="9"/>
      <c r="Q160" s="9" t="str">
        <f>IFERROR(__xludf.DUMMYFUNCTION("""COMPUTED_VALUE"""),"TNDHLTK22_202610515")</f>
        <v>TNDHLTK22_202610515</v>
      </c>
    </row>
    <row r="161">
      <c r="A161" s="10">
        <f>IFERROR(__xludf.DUMMYFUNCTION("""COMPUTED_VALUE"""),46024.93864443287)</f>
        <v>46024.93864</v>
      </c>
      <c r="B161" s="9" t="str">
        <f>IFERROR(__xludf.DUMMYFUNCTION("""COMPUTED_VALUE"""),"phanductho534@gmail.com")</f>
        <v>phanductho534@gmail.com</v>
      </c>
      <c r="C161" s="9">
        <f>IFERROR(__xludf.DUMMYFUNCTION("""COMPUTED_VALUE"""),1.22001383E8)</f>
        <v>122001383</v>
      </c>
      <c r="D161" s="9" t="str">
        <f>IFERROR(__xludf.DUMMYFUNCTION("""COMPUTED_VALUE"""),"Phan Đức Thọ")</f>
        <v>Phan Đức Thọ</v>
      </c>
      <c r="E161" s="9" t="str">
        <f>IFERROR(__xludf.DUMMYFUNCTION("""COMPUTED_VALUE"""),"0367401449")</f>
        <v>0367401449</v>
      </c>
      <c r="F161" s="9" t="str">
        <f>IFERROR(__xludf.DUMMYFUNCTION("""COMPUTED_VALUE"""),"22CT115")</f>
        <v>22CT115</v>
      </c>
      <c r="G161" s="9" t="str">
        <f>IFERROR(__xludf.DUMMYFUNCTION("""COMPUTED_VALUE"""),"Thực hiện đồ án tốt nghiệp")</f>
        <v>Thực hiện đồ án tốt nghiệp</v>
      </c>
      <c r="H161" s="9" t="str">
        <f>IFERROR(__xludf.DUMMYFUNCTION("""COMPUTED_VALUE"""),"Nguyễn Vũ Duy Quang")</f>
        <v>Nguyễn Vũ Duy Quang</v>
      </c>
      <c r="I161" s="9"/>
      <c r="J161" s="9" t="str">
        <f>IFERROR(__xludf.DUMMYFUNCTION("""COMPUTED_VALUE"""),"Xây dựng hệ thống chứng nhận hóa đơn/hợp đồng điện tử trên nền tảng blockchain cho hộ kinh doanh nhỏ lẻ")</f>
        <v>Xây dựng hệ thống chứng nhận hóa đơn/hợp đồng điện tử trên nền tảng blockchain cho hộ kinh doanh nhỏ lẻ</v>
      </c>
      <c r="K161" s="9" t="str">
        <f>IFERROR(__xludf.DUMMYFUNCTION("""COMPUTED_VALUE"""),"Giúp người bán hàng online hay chủ tiệm tạp hóa có thể ký hợp đồng điện tử an toàn tuyệt đối như các tập đoàn lớn, nhưng với chi phí rẻ và thao tác đơn giản.")</f>
        <v>Giúp người bán hàng online hay chủ tiệm tạp hóa có thể ký hợp đồng điện tử an toàn tuyệt đối như các tập đoàn lớn, nhưng với chi phí rẻ và thao tác đơn giản.</v>
      </c>
      <c r="L161" s="9" t="str">
        <f>IFERROR(__xludf.DUMMYFUNCTION("""COMPUTED_VALUE"""),"1. Phần Nghiên cứu &amp; Lý thuyết
​Tìm hiểu cách vận hành của Blockchain (công nghệ lưu trữ không thể sửa xóa).
​Tìm hiểu về Chữ ký số và Thuật toán băm (cách tạo ra ""vân tay điện tử"" duy nhất cho mỗi file hợp đồng).
​2. Phần Xây dựng ""Lõi"" Blockchain (S"&amp;"mart Contract)
​Lập trình một Hợp đồng thông minh đóng vai trò là ""người công chứng ảo"".
​Nhiệm vụ của nó: Ghi lại dấu vân tay của file gốc và thời điểm ký vào Blockchain để làm bằng chứng.
​3. Phần Xây dựng Ứng dụng Website (Cho người dùng)
​Làm trang "&amp;"web cho phép người dân/hộ kinh doanh đăng nhập và tải hợp đồng lên.
​Tích hợp Ví điện tử (như MetaMask) để người dùng bấm nút ""Ký"" xác nhận online.
​Làm trang Tra cứu công khai: Ai cũng có thể up file lên để kiểm tra xem file đó là thật hay giả.
​4. Phầ"&amp;"n Kiểm thử &amp; Đánh giá
​Chạy thử quy trình: Ký hợp đồng -&gt; Lưu lên mạng -&gt; Kiểm tra lại.
​Thử nghiệm giả mạo: Cố tình sửa nội dung file gốc để chứng minh hệ thống phát hiện được ngay lập tức.")</f>
        <v>1. Phần Nghiên cứu &amp; Lý thuyết
​Tìm hiểu cách vận hành của Blockchain (công nghệ lưu trữ không thể sửa xóa).
​Tìm hiểu về Chữ ký số và Thuật toán băm (cách tạo ra "vân tay điện tử" duy nhất cho mỗi file hợp đồng).
​2. Phần Xây dựng "Lõi" Blockchain (Smart Contract)
​Lập trình một Hợp đồng thông minh đóng vai trò là "người công chứng ảo".
​Nhiệm vụ của nó: Ghi lại dấu vân tay của file gốc và thời điểm ký vào Blockchain để làm bằng chứng.
​3. Phần Xây dựng Ứng dụng Website (Cho người dùng)
​Làm trang web cho phép người dân/hộ kinh doanh đăng nhập và tải hợp đồng lên.
​Tích hợp Ví điện tử (như MetaMask) để người dùng bấm nút "Ký" xác nhận online.
​Làm trang Tra cứu công khai: Ai cũng có thể up file lên để kiểm tra xem file đó là thật hay giả.
​4. Phần Kiểm thử &amp; Đánh giá
​Chạy thử quy trình: Ký hợp đồng -&gt; Lưu lên mạng -&gt; Kiểm tra lại.
​Thử nghiệm giả mạo: Cố tình sửa nội dung file gốc để chứng minh hệ thống phát hiện được ngay lập tức.</v>
      </c>
      <c r="M161" s="9"/>
      <c r="N161" s="9"/>
      <c r="O161" s="9"/>
      <c r="P161" s="9"/>
      <c r="Q161" s="9" t="str">
        <f>IFERROR(__xludf.DUMMYFUNCTION("""COMPUTED_VALUE"""),"TNDHLTK22_202610515")</f>
        <v>TNDHLTK22_202610515</v>
      </c>
    </row>
    <row r="162">
      <c r="A162" s="10">
        <f>IFERROR(__xludf.DUMMYFUNCTION("""COMPUTED_VALUE"""),46024.94632646991)</f>
        <v>46024.94633</v>
      </c>
      <c r="B162" s="9" t="str">
        <f>IFERROR(__xludf.DUMMYFUNCTION("""COMPUTED_VALUE"""),"nguyenvanductrong112@gmail.com")</f>
        <v>nguyenvanductrong112@gmail.com</v>
      </c>
      <c r="C162" s="9">
        <f>IFERROR(__xludf.DUMMYFUNCTION("""COMPUTED_VALUE"""),1.22000708E8)</f>
        <v>122000708</v>
      </c>
      <c r="D162" s="9" t="str">
        <f>IFERROR(__xludf.DUMMYFUNCTION("""COMPUTED_VALUE"""),"Nguyễn Văn Đức Trọng ")</f>
        <v>Nguyễn Văn Đức Trọng </v>
      </c>
      <c r="E162" s="9" t="str">
        <f>IFERROR(__xludf.DUMMYFUNCTION("""COMPUTED_VALUE"""),"0966074150")</f>
        <v>0966074150</v>
      </c>
      <c r="F162" s="9" t="str">
        <f>IFERROR(__xludf.DUMMYFUNCTION("""COMPUTED_VALUE"""),"22CT114")</f>
        <v>22CT114</v>
      </c>
      <c r="G162" s="9" t="str">
        <f>IFERROR(__xludf.DUMMYFUNCTION("""COMPUTED_VALUE"""),"Thực hiện đồ án tốt nghiệp")</f>
        <v>Thực hiện đồ án tốt nghiệp</v>
      </c>
      <c r="H162" s="9" t="str">
        <f>IFERROR(__xludf.DUMMYFUNCTION("""COMPUTED_VALUE"""),"Hoàng Sỹ Hùng")</f>
        <v>Hoàng Sỹ Hùng</v>
      </c>
      <c r="I162" s="9" t="str">
        <f>IFERROR(__xludf.DUMMYFUNCTION("""COMPUTED_VALUE"""),"Hoàng Sỹ Hùng")</f>
        <v>Hoàng Sỹ Hùng</v>
      </c>
      <c r="J162" s="9" t="str">
        <f>IFERROR(__xludf.DUMMYFUNCTION("""COMPUTED_VALUE"""),"Food AI For Gym Members")</f>
        <v>Food AI For Gym Members</v>
      </c>
      <c r="K162" s="9" t="str">
        <f>IFERROR(__xludf.DUMMYFUNCTION("""COMPUTED_VALUE"""),"Phát triển app đề xuất món ăn phù hợp cho người tập gym
đổi lại mục tiêu")</f>
        <v>Phát triển app đề xuất món ăn phù hợp cho người tập gym
đổi lại mục tiêu</v>
      </c>
      <c r="L162" s="9" t="str">
        <f>IFERROR(__xludf.DUMMYFUNCTION("""COMPUTED_VALUE"""),"Xây dựng một hệ thống trợ lý ảo gợi ý thực phẩm cho người tập Gym, giúp người dùng:
Nhập thông tin cá nhân và mục tiêu tập luyện
Nhận được gợi ý thực đơn phù hợp theo thể trạng và mục tiêu
Hỗ trợ người mới tập ăn đúng – đủ – khoa học")</f>
        <v>Xây dựng một hệ thống trợ lý ảo gợi ý thực phẩm cho người tập Gym, giúp người dùng:
Nhập thông tin cá nhân và mục tiêu tập luyện
Nhận được gợi ý thực đơn phù hợp theo thể trạng và mục tiêu
Hỗ trợ người mới tập ăn đúng – đủ – khoa học</v>
      </c>
      <c r="M162" s="9"/>
      <c r="N162" s="9"/>
      <c r="O162" s="9"/>
      <c r="P162" s="9"/>
      <c r="Q162" s="9" t="str">
        <f>IFERROR(__xludf.DUMMYFUNCTION("""COMPUTED_VALUE"""),"TNDHLTK22_202610515")</f>
        <v>TNDHLTK22_202610515</v>
      </c>
    </row>
    <row r="163">
      <c r="A163" s="10">
        <f>IFERROR(__xludf.DUMMYFUNCTION("""COMPUTED_VALUE"""),46024.94706239583)</f>
        <v>46024.94706</v>
      </c>
      <c r="B163" s="9" t="str">
        <f>IFERROR(__xludf.DUMMYFUNCTION("""COMPUTED_VALUE"""),"datchu0708dat@gmail.com")</f>
        <v>datchu0708dat@gmail.com</v>
      </c>
      <c r="C163" s="9">
        <f>IFERROR(__xludf.DUMMYFUNCTION("""COMPUTED_VALUE"""),1.22001375E8)</f>
        <v>122001375</v>
      </c>
      <c r="D163" s="9" t="str">
        <f>IFERROR(__xludf.DUMMYFUNCTION("""COMPUTED_VALUE"""),"Chu Đình Đạt")</f>
        <v>Chu Đình Đạt</v>
      </c>
      <c r="E163" s="9" t="str">
        <f>IFERROR(__xludf.DUMMYFUNCTION("""COMPUTED_VALUE"""),"0339005416")</f>
        <v>0339005416</v>
      </c>
      <c r="F163" s="9" t="str">
        <f>IFERROR(__xludf.DUMMYFUNCTION("""COMPUTED_VALUE"""),"22CT114")</f>
        <v>22CT114</v>
      </c>
      <c r="G163" s="9" t="str">
        <f>IFERROR(__xludf.DUMMYFUNCTION("""COMPUTED_VALUE"""),"Thực hiện đồ án tốt nghiệp")</f>
        <v>Thực hiện đồ án tốt nghiệp</v>
      </c>
      <c r="H163" s="9" t="str">
        <f>IFERROR(__xludf.DUMMYFUNCTION("""COMPUTED_VALUE"""),"Hoàng Sỹ Hùng")</f>
        <v>Hoàng Sỹ Hùng</v>
      </c>
      <c r="I163" s="9" t="str">
        <f>IFERROR(__xludf.DUMMYFUNCTION("""COMPUTED_VALUE"""),"Hoàng Sỹ Hùng")</f>
        <v>Hoàng Sỹ Hùng</v>
      </c>
      <c r="J163" s="9" t="str">
        <f>IFERROR(__xludf.DUMMYFUNCTION("""COMPUTED_VALUE"""),"Food AI For Gym Members")</f>
        <v>Food AI For Gym Members</v>
      </c>
      <c r="K163" s="9" t="str">
        <f>IFERROR(__xludf.DUMMYFUNCTION("""COMPUTED_VALUE"""),"Phát triển app đề xuất món ăn phù hợp cho người tập gym")</f>
        <v>Phát triển app đề xuất món ăn phù hợp cho người tập gym</v>
      </c>
      <c r="L163" s="9" t="str">
        <f>IFERROR(__xludf.DUMMYFUNCTION("""COMPUTED_VALUE"""),"Xây dựng một hệ thống trợ lý ảo gợi ý thực phẩm cho người tập Gym, giúp người dùng:
Nhập thông tin cá nhân và mục tiêu tập luyện
Nhận được gợi ý thực đơn phù hợp theo thể trạng và mục tiêu
Hỗ trợ người mới tập ăn đúng – đủ – khoa học")</f>
        <v>Xây dựng một hệ thống trợ lý ảo gợi ý thực phẩm cho người tập Gym, giúp người dùng:
Nhập thông tin cá nhân và mục tiêu tập luyện
Nhận được gợi ý thực đơn phù hợp theo thể trạng và mục tiêu
Hỗ trợ người mới tập ăn đúng – đủ – khoa học</v>
      </c>
      <c r="M163" s="9"/>
      <c r="N163" s="9"/>
      <c r="O163" s="9"/>
      <c r="P163" s="9"/>
      <c r="Q163" s="9" t="str">
        <f>IFERROR(__xludf.DUMMYFUNCTION("""COMPUTED_VALUE"""),"TNDHLTK22_202610515")</f>
        <v>TNDHLTK22_202610515</v>
      </c>
    </row>
    <row r="164">
      <c r="A164" s="10">
        <f>IFERROR(__xludf.DUMMYFUNCTION("""COMPUTED_VALUE"""),46024.94829072917)</f>
        <v>46024.94829</v>
      </c>
      <c r="B164" s="9" t="str">
        <f>IFERROR(__xludf.DUMMYFUNCTION("""COMPUTED_VALUE"""),"lct8104@gmail.com")</f>
        <v>lct8104@gmail.com</v>
      </c>
      <c r="C164" s="9">
        <f>IFERROR(__xludf.DUMMYFUNCTION("""COMPUTED_VALUE"""),1.22000153E8)</f>
        <v>122000153</v>
      </c>
      <c r="D164" s="9" t="str">
        <f>IFERROR(__xludf.DUMMYFUNCTION("""COMPUTED_VALUE"""),"Lê Chí Tường")</f>
        <v>Lê Chí Tường</v>
      </c>
      <c r="E164" s="9" t="str">
        <f>IFERROR(__xludf.DUMMYFUNCTION("""COMPUTED_VALUE"""),"0984707674")</f>
        <v>0984707674</v>
      </c>
      <c r="F164" s="9" t="str">
        <f>IFERROR(__xludf.DUMMYFUNCTION("""COMPUTED_VALUE"""),"22CT113")</f>
        <v>22CT113</v>
      </c>
      <c r="G164" s="9" t="str">
        <f>IFERROR(__xludf.DUMMYFUNCTION("""COMPUTED_VALUE"""),"Thực hiện đồ án tốt nghiệp")</f>
        <v>Thực hiện đồ án tốt nghiệp</v>
      </c>
      <c r="H164" s="9" t="str">
        <f>IFERROR(__xludf.DUMMYFUNCTION("""COMPUTED_VALUE"""),"Đoàn Thiện Minh")</f>
        <v>Đoàn Thiện Minh</v>
      </c>
      <c r="I164" s="9"/>
      <c r="J164" s="9" t="str">
        <f>IFERROR(__xludf.DUMMYFUNCTION("""COMPUTED_VALUE"""),"EatFitAI - Ứng dụng trí tuệ nhân tạo hỗ trợ theo dõi dinh dưỡng và sức khỏe")</f>
        <v>EatFitAI - Ứng dụng trí tuệ nhân tạo hỗ trợ theo dõi dinh dưỡng và sức khỏe</v>
      </c>
      <c r="K164" s="9" t="str">
        <f>IFERROR(__xludf.DUMMYFUNCTION("""COMPUTED_VALUE"""),"Xây dựng ứng dụng di động theo dõi dinh dưỡng cá nhân hóa tích hợp trí tuệ nhân tạo (AI), giúp người dùng dễ dàng quản lý chế độ ăn uống hàng ngày thông qua công nghệ nhận diện hình ảnh và xử lý ngôn ngữ tự nhiên.")</f>
        <v>Xây dựng ứng dụng di động theo dõi dinh dưỡng cá nhân hóa tích hợp trí tuệ nhân tạo (AI), giúp người dùng dễ dàng quản lý chế độ ăn uống hàng ngày thông qua công nghệ nhận diện hình ảnh và xử lý ngôn ngữ tự nhiên.</v>
      </c>
      <c r="L164" s="9" t="str">
        <f>IFERROR(__xludf.DUMMYFUNCTION("""COMPUTED_VALUE"""),"Phân tích yêu cầu và thiết kế hệ thống (kiến trúc, CSDL, giao diện)
Xây dựng ứng dụng di động đa nền tảng (React Native/Expo)
Xây dựng Backend API (.NET 9, SQL Server)
Tích hợp AI nhận diện thực phẩm (YOLOv8)
Tích hợp AI tư vấn dinh dưỡng (LLM - Ollama)
T"&amp;"ích hợp điều khiển giọng nói tiếng Việt (Whisper)
Kiểm thử và triển khai ứng dụng")</f>
        <v>Phân tích yêu cầu và thiết kế hệ thống (kiến trúc, CSDL, giao diện)
Xây dựng ứng dụng di động đa nền tảng (React Native/Expo)
Xây dựng Backend API (.NET 9, SQL Server)
Tích hợp AI nhận diện thực phẩm (YOLOv8)
Tích hợp AI tư vấn dinh dưỡng (LLM - Ollama)
Tích hợp điều khiển giọng nói tiếng Việt (Whisper)
Kiểm thử và triển khai ứng dụng</v>
      </c>
      <c r="M164" s="9"/>
      <c r="N164" s="9"/>
      <c r="O164" s="9"/>
      <c r="P164" s="9"/>
      <c r="Q164" s="9" t="str">
        <f>IFERROR(__xludf.DUMMYFUNCTION("""COMPUTED_VALUE"""),"TNDHLTK22_202610515")</f>
        <v>TNDHLTK22_202610515</v>
      </c>
    </row>
    <row r="165">
      <c r="A165" s="10">
        <f>IFERROR(__xludf.DUMMYFUNCTION("""COMPUTED_VALUE"""),46024.95332538194)</f>
        <v>46024.95333</v>
      </c>
      <c r="B165" s="9" t="str">
        <f>IFERROR(__xludf.DUMMYFUNCTION("""COMPUTED_VALUE"""),"truongtd304@gmail.com")</f>
        <v>truongtd304@gmail.com</v>
      </c>
      <c r="C165" s="9">
        <f>IFERROR(__xludf.DUMMYFUNCTION("""COMPUTED_VALUE"""),1.22001286E8)</f>
        <v>122001286</v>
      </c>
      <c r="D165" s="9" t="str">
        <f>IFERROR(__xludf.DUMMYFUNCTION("""COMPUTED_VALUE"""),"Trần Đình Trường")</f>
        <v>Trần Đình Trường</v>
      </c>
      <c r="E165" s="9" t="str">
        <f>IFERROR(__xludf.DUMMYFUNCTION("""COMPUTED_VALUE"""),"0972359501")</f>
        <v>0972359501</v>
      </c>
      <c r="F165" s="9" t="str">
        <f>IFERROR(__xludf.DUMMYFUNCTION("""COMPUTED_VALUE"""),"22CT114")</f>
        <v>22CT114</v>
      </c>
      <c r="G165" s="9" t="str">
        <f>IFERROR(__xludf.DUMMYFUNCTION("""COMPUTED_VALUE"""),"Thực hiện đồ án tốt nghiệp")</f>
        <v>Thực hiện đồ án tốt nghiệp</v>
      </c>
      <c r="H165" s="9" t="str">
        <f>IFERROR(__xludf.DUMMYFUNCTION("""COMPUTED_VALUE"""),"Hoàng Sỹ Hùng")</f>
        <v>Hoàng Sỹ Hùng</v>
      </c>
      <c r="I165" s="9" t="str">
        <f>IFERROR(__xludf.DUMMYFUNCTION("""COMPUTED_VALUE"""),"Hoàng Sỹ Hùng ")</f>
        <v>Hoàng Sỹ Hùng </v>
      </c>
      <c r="J165" s="9" t="str">
        <f>IFERROR(__xludf.DUMMYFUNCTION("""COMPUTED_VALUE"""),"Xây dựng hệ thống tự động hóa kiểm thử phần mềm sử dụng Playwright")</f>
        <v>Xây dựng hệ thống tự động hóa kiểm thử phần mềm sử dụng Playwright</v>
      </c>
      <c r="K165" s="9" t="str">
        <f>IFERROR(__xludf.DUMMYFUNCTION("""COMPUTED_VALUE"""),"Mục tiêu của đề tài là xây dựng một hệ thống tự động hóa kiểm thử phần mềm sử dụng Playwright, cho phép người dùng mô tả test case bằng file Excel theo định dạng chuẩn. Hệ thống có khả năng phân tích dữ liệu test case, tự động sinh và thực thi các kịch bả"&amp;"n kiểm thử, đồng thời cung cấp báo cáo kết quả kiểm thử nhằm hỗ trợ nâng cao hiệu quả và giảm công sức trong quá trình kiểm thử phần mềm.")</f>
        <v>Mục tiêu của đề tài là xây dựng một hệ thống tự động hóa kiểm thử phần mềm sử dụng Playwright, cho phép người dùng mô tả test case bằng file Excel theo định dạng chuẩn. Hệ thống có khả năng phân tích dữ liệu test case, tự động sinh và thực thi các kịch bản kiểm thử, đồng thời cung cấp báo cáo kết quả kiểm thử nhằm hỗ trợ nâng cao hiệu quả và giảm công sức trong quá trình kiểm thử phần mềm.</v>
      </c>
      <c r="L165" s="9" t="str">
        <f>IFERROR(__xludf.DUMMYFUNCTION("""COMPUTED_VALUE"""),"Nội dung thực hiện của đề tài bao gồm:
1. Nghiên cứu cơ sở lý thuyết về kiểm thử phần mềm và tự động hóa kiểm thử.
2. Thiết kế định dạng file Excel dùng để mô tả test case và test step.
3. Xây dựng chức năng đọc, phân tích và kiểm tra tính hợp lệ của file"&amp;" Excel.
4. Phát triển module sinh kịch bản kiểm thử tự động sử dụng Playwright từ dữ liệu test case.
5. Tích hợp cơ chế thực thi kiểm thử và sinh báo cáo kết quả.
6. Đánh giá và minh họa kết quả của hệ thống thông qua một số kịch bản kiểm thử mẫu.")</f>
        <v>Nội dung thực hiện của đề tài bao gồm:
1. Nghiên cứu cơ sở lý thuyết về kiểm thử phần mềm và tự động hóa kiểm thử.
2. Thiết kế định dạng file Excel dùng để mô tả test case và test step.
3. Xây dựng chức năng đọc, phân tích và kiểm tra tính hợp lệ của file Excel.
4. Phát triển module sinh kịch bản kiểm thử tự động sử dụng Playwright từ dữ liệu test case.
5. Tích hợp cơ chế thực thi kiểm thử và sinh báo cáo kết quả.
6. Đánh giá và minh họa kết quả của hệ thống thông qua một số kịch bản kiểm thử mẫu.</v>
      </c>
      <c r="M165" s="9"/>
      <c r="N165" s="9"/>
      <c r="O165" s="9"/>
      <c r="P165" s="9"/>
      <c r="Q165" s="9" t="str">
        <f>IFERROR(__xludf.DUMMYFUNCTION("""COMPUTED_VALUE"""),"TNDHLTK22_202610515")</f>
        <v>TNDHLTK22_202610515</v>
      </c>
    </row>
    <row r="166">
      <c r="A166" s="10">
        <f>IFERROR(__xludf.DUMMYFUNCTION("""COMPUTED_VALUE"""),46024.97362942129)</f>
        <v>46024.97363</v>
      </c>
      <c r="B166" s="9" t="str">
        <f>IFERROR(__xludf.DUMMYFUNCTION("""COMPUTED_VALUE"""),"huyphamnq.vn@gmail.com")</f>
        <v>huyphamnq.vn@gmail.com</v>
      </c>
      <c r="C166" s="9">
        <f>IFERROR(__xludf.DUMMYFUNCTION("""COMPUTED_VALUE"""),1.22000598E8)</f>
        <v>122000598</v>
      </c>
      <c r="D166" s="9" t="str">
        <f>IFERROR(__xludf.DUMMYFUNCTION("""COMPUTED_VALUE"""),"Phạm Nguyễn Quốc Huy")</f>
        <v>Phạm Nguyễn Quốc Huy</v>
      </c>
      <c r="E166" s="9" t="str">
        <f>IFERROR(__xludf.DUMMYFUNCTION("""COMPUTED_VALUE"""),"0349134627")</f>
        <v>0349134627</v>
      </c>
      <c r="F166" s="9" t="str">
        <f>IFERROR(__xludf.DUMMYFUNCTION("""COMPUTED_VALUE"""),"22CT111")</f>
        <v>22CT111</v>
      </c>
      <c r="G166" s="9" t="str">
        <f>IFERROR(__xludf.DUMMYFUNCTION("""COMPUTED_VALUE"""),"Thực hiện đồ án tốt nghiệp")</f>
        <v>Thực hiện đồ án tốt nghiệp</v>
      </c>
      <c r="H166" s="9" t="str">
        <f>IFERROR(__xludf.DUMMYFUNCTION("""COMPUTED_VALUE"""),"Nguyễn Minh Phúc")</f>
        <v>Nguyễn Minh Phúc</v>
      </c>
      <c r="I166" s="9"/>
      <c r="J166" s="9" t="str">
        <f>IFERROR(__xludf.DUMMYFUNCTION("""COMPUTED_VALUE"""),"Phân tích tương tác sinh viên với LMS để phát hiện nguy cơ học kém")</f>
        <v>Phân tích tương tác sinh viên với LMS để phát hiện nguy cơ học kém</v>
      </c>
      <c r="K166" s="9" t="str">
        <f>IFERROR(__xludf.DUMMYFUNCTION("""COMPUTED_VALUE"""),"Mục tiêu : Mục tiêu dự án là xây dựng module phân tích trên LMS để phát hiện sớm nguy cơ học kém thông qua dữ liệu hành vi. Hệ thống chuyển đổi việc giám sát từ thụ động sang chủ động cảnh báo dựa trên mô hình học máy.
Cụ thể:
Với giảng viên: Cung cấp c"&amp;"ông cụ theo dõi và cảnh báo các sinh viên có nguy cơ rớt môn để can thiệp hỗ trợ kịp thời.
Với sinh viên: Thông báo mức độ rủi ro hiện tại để sinh viên tự nhận biết và điều chỉnh thái độ học tập.")</f>
        <v>Mục tiêu : Mục tiêu dự án là xây dựng module phân tích trên LMS để phát hiện sớm nguy cơ học kém thông qua dữ liệu hành vi. Hệ thống chuyển đổi việc giám sát từ thụ động sang chủ động cảnh báo dựa trên mô hình học máy.
Cụ thể:
Với giảng viên: Cung cấp công cụ theo dõi và cảnh báo các sinh viên có nguy cơ rớt môn để can thiệp hỗ trợ kịp thời.
Với sinh viên: Thông báo mức độ rủi ro hiện tại để sinh viên tự nhận biết và điều chỉnh thái độ học tập.</v>
      </c>
      <c r="L166" s="9" t="str">
        <f>IFERROR(__xludf.DUMMYFUNCTION("""COMPUTED_VALUE"""),"Các bước đã thực hiện trước đó:
Chuẩn bị dữ liệu
Nhóm Khảo Sát xây dựng bộ dữ liệu mô phỏng lại hành vi học tập của sinh viên trong tuần đầu tiên. Dữ liệu này bao gồm các thông tin cơ bản như thời gian học, số video đã xem và tần suất đăng nhập, đảm bảo t"&amp;"hực tế.
Xử lý và chuẩn hóa
Hệ thống làm sạch thông tin thu thập được và loại bỏ các dữ liệu lỗi. Nhóm phân loại sinh viên thành hai nhóm ""Nguy cơ"" và ""An toàn"" để làm cơ sở cho hệ thống học tập và nhận diện.
Xây dựng hệ thống dự báo
Nhóm đưa dữ liệu v"&amp;"ào thử nghiệm trên các mô hình phân tích khác nhau, lựa chọn mô hình tối ưu rồi đưa vào xử lí.
Phân tích yếu tố ảnh hưởng
Hệ thống xác định các hành vi tác động lớn nhất đến kết quả học tập. Việc không nộp bài tập và thời gian học quá ít được xác định là "&amp;"hai dấu hiệu rõ nhất để nhận biết sinh viên có nguy cơ rớt môn, từ đó đến các hành vi khác.
Các bước tiếp theo:
•	Sử dụng dữ liệu thực tế: Thu thập và kiểm chứng mô hình trên dữ liệu log thật từ hệ thống LMS của nhà trường, vì trước đó đã sử dụng dữ liệu "&amp;"mô phỏng.
•	Phát triển Dashboard trực quan: Xây dựng giao diện bảng điều khiển giúp giảng viên theo dõi biến động học tập của sinh viên theo thời gian thực.
•	Hệ thống cảnh báo tự động: Tích hợp tính năng gửi thông báo cảnh báo nguy cơ rớt môn qua Email h"&amp;"oặc tin nhắn đến sinh viên và cố vấn học tập.
•	Nâng cấp thuật toán: Nghiên cứu và áp dụng thêm các mô hình nâng cao (như XGBoost, Deep Learning) để so sánh và tối ưu hóa độ chính xác của dự báo.")</f>
        <v>Các bước đã thực hiện trước đó:
Chuẩn bị dữ liệu
Nhóm Khảo Sát xây dựng bộ dữ liệu mô phỏng lại hành vi học tập của sinh viên trong tuần đầu tiên. Dữ liệu này bao gồm các thông tin cơ bản như thời gian học, số video đã xem và tần suất đăng nhập, đảm bảo thực tế.
Xử lý và chuẩn hóa
Hệ thống làm sạch thông tin thu thập được và loại bỏ các dữ liệu lỗi. Nhóm phân loại sinh viên thành hai nhóm "Nguy cơ" và "An toàn" để làm cơ sở cho hệ thống học tập và nhận diện.
Xây dựng hệ thống dự báo
Nhóm đưa dữ liệu vào thử nghiệm trên các mô hình phân tích khác nhau, lựa chọn mô hình tối ưu rồi đưa vào xử lí.
Phân tích yếu tố ảnh hưởng
Hệ thống xác định các hành vi tác động lớn nhất đến kết quả học tập. Việc không nộp bài tập và thời gian học quá ít được xác định là hai dấu hiệu rõ nhất để nhận biết sinh viên có nguy cơ rớt môn, từ đó đến các hành vi khác.
Các bước tiếp theo:
•	Sử dụng dữ liệu thực tế: Thu thập và kiểm chứng mô hình trên dữ liệu log thật từ hệ thống LMS của nhà trường, vì trước đó đã sử dụng dữ liệu mô phỏng.
•	Phát triển Dashboard trực quan: Xây dựng giao diện bảng điều khiển giúp giảng viên theo dõi biến động học tập của sinh viên theo thời gian thực.
•	Hệ thống cảnh báo tự động: Tích hợp tính năng gửi thông báo cảnh báo nguy cơ rớt môn qua Email hoặc tin nhắn đến sinh viên và cố vấn học tập.
•	Nâng cấp thuật toán: Nghiên cứu và áp dụng thêm các mô hình nâng cao (như XGBoost, Deep Learning) để so sánh và tối ưu hóa độ chính xác của dự báo.</v>
      </c>
      <c r="M166" s="9"/>
      <c r="N166" s="9"/>
      <c r="O166" s="9"/>
      <c r="P166" s="9"/>
      <c r="Q166" s="9" t="str">
        <f>IFERROR(__xludf.DUMMYFUNCTION("""COMPUTED_VALUE"""),"TNDHLTK22_202610515")</f>
        <v>TNDHLTK22_202610515</v>
      </c>
    </row>
    <row r="167">
      <c r="A167" s="10">
        <f>IFERROR(__xludf.DUMMYFUNCTION("""COMPUTED_VALUE"""),46024.98494392361)</f>
        <v>46024.98494</v>
      </c>
      <c r="B167" s="9" t="str">
        <f>IFERROR(__xludf.DUMMYFUNCTION("""COMPUTED_VALUE"""),"huuthang23022004@gmail.com")</f>
        <v>huuthang23022004@gmail.com</v>
      </c>
      <c r="C167" s="9">
        <f>IFERROR(__xludf.DUMMYFUNCTION("""COMPUTED_VALUE"""),1.22001087E8)</f>
        <v>122001087</v>
      </c>
      <c r="D167" s="9" t="str">
        <f>IFERROR(__xludf.DUMMYFUNCTION("""COMPUTED_VALUE"""),"Bùi Hữu Thắng ")</f>
        <v>Bùi Hữu Thắng </v>
      </c>
      <c r="E167" s="9" t="str">
        <f>IFERROR(__xludf.DUMMYFUNCTION("""COMPUTED_VALUE"""),"0823583538")</f>
        <v>0823583538</v>
      </c>
      <c r="F167" s="9" t="str">
        <f>IFERROR(__xludf.DUMMYFUNCTION("""COMPUTED_VALUE"""),"22CT113")</f>
        <v>22CT113</v>
      </c>
      <c r="G167" s="9" t="str">
        <f>IFERROR(__xludf.DUMMYFUNCTION("""COMPUTED_VALUE"""),"Thực hiện đồ án tốt nghiệp")</f>
        <v>Thực hiện đồ án tốt nghiệp</v>
      </c>
      <c r="H167" s="9" t="str">
        <f>IFERROR(__xludf.DUMMYFUNCTION("""COMPUTED_VALUE"""),"Nguyễn Minh Phúc")</f>
        <v>Nguyễn Minh Phúc</v>
      </c>
      <c r="I167" s="9"/>
      <c r="J167" s="9" t="str">
        <f>IFERROR(__xludf.DUMMYFUNCTION("""COMPUTED_VALUE"""),"Phân tích tương tác sinh viên với LMS để phát hiện nguy cơ học kém")</f>
        <v>Phân tích tương tác sinh viên với LMS để phát hiện nguy cơ học kém</v>
      </c>
      <c r="K167" s="9" t="str">
        <f>IFERROR(__xludf.DUMMYFUNCTION("""COMPUTED_VALUE""")," Mục tiêu dự án là xây dựng module phân tích trên LMS để phát hiện sớm nguy cơ học kém thông qua dữ liệu hành vi. Hệ thống chuyển đổi việc giám sát từ thụ động sang chủ động cảnh báo dựa trên mô hình học máy.
Cụ thể:
Với giảng viên: Cung cấp công cụ the"&amp;"o dõi và cảnh báo các sinh viên có nguy cơ rớt môn để can thiệp hỗ trợ kịp thời.
Với sinh viên: Thông báo mức độ rủi ro hiện tại để sinh viên tự nhận biết và điều chỉnh thái độ học tập.")</f>
        <v> Mục tiêu dự án là xây dựng module phân tích trên LMS để phát hiện sớm nguy cơ học kém thông qua dữ liệu hành vi. Hệ thống chuyển đổi việc giám sát từ thụ động sang chủ động cảnh báo dựa trên mô hình học máy.
Cụ thể:
Với giảng viên: Cung cấp công cụ theo dõi và cảnh báo các sinh viên có nguy cơ rớt môn để can thiệp hỗ trợ kịp thời.
Với sinh viên: Thông báo mức độ rủi ro hiện tại để sinh viên tự nhận biết và điều chỉnh thái độ học tập.</v>
      </c>
      <c r="L167" s="9" t="str">
        <f>IFERROR(__xludf.DUMMYFUNCTION("""COMPUTED_VALUE"""),"Các bước đã thực hiện trước đó:
Chuẩn bị dữ liệu
Nhóm Khảo Sát xây dựng bộ dữ liệu mô phỏng lại hành vi học tập của sinh viên trong tuần đầu tiên. Dữ liệu này bao gồm các thông tin cơ bản như thời gian học, số video đã xem và tần suất đăng nhập, đảm bảo t"&amp;"hực tế.
Xử lý và chuẩn hóa
Hệ thống làm sạch thông tin thu thập được và loại bỏ các dữ liệu lỗi. Nhóm phân loại sinh viên thành hai nhóm ""Nguy cơ"" và ""An toàn"" để làm cơ sở cho hệ thống học tập và nhận diện.
Xây dựng hệ thống dự báo
Nhóm đưa dữ liệu v"&amp;"ào thử nghiệm trên các mô hình phân tích khác nhau, lựa chọn mô hình tối ưu rồi đưa vào xử lí.
Phân tích yếu tố ảnh hưởng
Hệ thống xác định các hành vi tác động lớn nhất đến kết quả học tập. Việc không nộp bài tập và thời gian học quá ít được xác định là "&amp;"hai dấu hiệu rõ nhất để nhận biết sinh viên có nguy cơ rớt môn, từ đó đến các hành vi khác.
Các bước tiếp theo:
•	Sử dụng dữ liệu thực tế: Thu thập và kiểm chứng mô hình trên dữ liệu log thật từ hệ thống LMS của nhà trường, vì trước đó đã sử dụng dữ liệu "&amp;"mô phỏng.
•	Phát triển Dashboard trực quan: Xây dựng giao diện bảng điều khiển giúp giảng viên theo dõi biến động học tập của sinh viên theo thời gian thực.
•	Hệ thống cảnh báo tự động: Tích hợp tính năng gửi thông báo cảnh báo nguy cơ rớt môn qua Email h"&amp;"oặc tin nhắn đến sinh viên và cố vấn học tập.
•	Nâng cấp thuật toán: Nghiên cứu và áp dụng thêm các mô hình nâng cao (như XGBoost, Deep Learning) để so sánh và tối ưu hóa độ chính xác của dự báo.")</f>
        <v>Các bước đã thực hiện trước đó:
Chuẩn bị dữ liệu
Nhóm Khảo Sát xây dựng bộ dữ liệu mô phỏng lại hành vi học tập của sinh viên trong tuần đầu tiên. Dữ liệu này bao gồm các thông tin cơ bản như thời gian học, số video đã xem và tần suất đăng nhập, đảm bảo thực tế.
Xử lý và chuẩn hóa
Hệ thống làm sạch thông tin thu thập được và loại bỏ các dữ liệu lỗi. Nhóm phân loại sinh viên thành hai nhóm "Nguy cơ" và "An toàn" để làm cơ sở cho hệ thống học tập và nhận diện.
Xây dựng hệ thống dự báo
Nhóm đưa dữ liệu vào thử nghiệm trên các mô hình phân tích khác nhau, lựa chọn mô hình tối ưu rồi đưa vào xử lí.
Phân tích yếu tố ảnh hưởng
Hệ thống xác định các hành vi tác động lớn nhất đến kết quả học tập. Việc không nộp bài tập và thời gian học quá ít được xác định là hai dấu hiệu rõ nhất để nhận biết sinh viên có nguy cơ rớt môn, từ đó đến các hành vi khác.
Các bước tiếp theo:
•	Sử dụng dữ liệu thực tế: Thu thập và kiểm chứng mô hình trên dữ liệu log thật từ hệ thống LMS của nhà trường, vì trước đó đã sử dụng dữ liệu mô phỏng.
•	Phát triển Dashboard trực quan: Xây dựng giao diện bảng điều khiển giúp giảng viên theo dõi biến động học tập của sinh viên theo thời gian thực.
•	Hệ thống cảnh báo tự động: Tích hợp tính năng gửi thông báo cảnh báo nguy cơ rớt môn qua Email hoặc tin nhắn đến sinh viên và cố vấn học tập.
•	Nâng cấp thuật toán: Nghiên cứu và áp dụng thêm các mô hình nâng cao (như XGBoost, Deep Learning) để so sánh và tối ưu hóa độ chính xác của dự báo.</v>
      </c>
      <c r="M167" s="9"/>
      <c r="N167" s="9"/>
      <c r="O167" s="9"/>
      <c r="P167" s="9"/>
      <c r="Q167" s="9" t="str">
        <f>IFERROR(__xludf.DUMMYFUNCTION("""COMPUTED_VALUE"""),"TNDHLTK22_202610515")</f>
        <v>TNDHLTK22_202610515</v>
      </c>
    </row>
    <row r="168">
      <c r="A168" s="10">
        <f>IFERROR(__xludf.DUMMYFUNCTION("""COMPUTED_VALUE"""),46024.98812756945)</f>
        <v>46024.98813</v>
      </c>
      <c r="B168" s="9" t="str">
        <f>IFERROR(__xludf.DUMMYFUNCTION("""COMPUTED_VALUE"""),"tuilarimrim@gmail.com")</f>
        <v>tuilarimrim@gmail.com</v>
      </c>
      <c r="C168" s="9">
        <f>IFERROR(__xludf.DUMMYFUNCTION("""COMPUTED_VALUE"""),1.22000326E8)</f>
        <v>122000326</v>
      </c>
      <c r="D168" s="9" t="str">
        <f>IFERROR(__xludf.DUMMYFUNCTION("""COMPUTED_VALUE"""),"Hàn Quốc Phú Hân")</f>
        <v>Hàn Quốc Phú Hân</v>
      </c>
      <c r="E168" s="9" t="str">
        <f>IFERROR(__xludf.DUMMYFUNCTION("""COMPUTED_VALUE"""),"0911176340")</f>
        <v>0911176340</v>
      </c>
      <c r="F168" s="9" t="str">
        <f>IFERROR(__xludf.DUMMYFUNCTION("""COMPUTED_VALUE"""),"22CT111")</f>
        <v>22CT111</v>
      </c>
      <c r="G168" s="9" t="str">
        <f>IFERROR(__xludf.DUMMYFUNCTION("""COMPUTED_VALUE"""),"Thực hiện đồ án tốt nghiệp")</f>
        <v>Thực hiện đồ án tốt nghiệp</v>
      </c>
      <c r="H168" s="9" t="str">
        <f>IFERROR(__xludf.DUMMYFUNCTION("""COMPUTED_VALUE"""),"Bùi Thị Thu Trang")</f>
        <v>Bùi Thị Thu Trang</v>
      </c>
      <c r="I168" s="9"/>
      <c r="J168" s="9" t="str">
        <f>IFERROR(__xludf.DUMMYFUNCTION("""COMPUTED_VALUE"""),"Phân tích xu hướng tuyển dụng ngành CNTT và TMĐT")</f>
        <v>Phân tích xu hướng tuyển dụng ngành CNTT và TMĐT</v>
      </c>
      <c r="K168" s="9" t="str">
        <f>IFERROR(__xludf.DUMMYFUNCTION("""COMPUTED_VALUE"""),"Phân tích xu hướng tuyển dụng ngành Công nghệ thông tin (CNTT) và Thương mại điện tử (TMĐT) dựa trên dữ liệu tuyển dụng, từ đó rút ra nhận xét về kỹ năng, mức lương và xu hướng theo thời gian.")</f>
        <v>Phân tích xu hướng tuyển dụng ngành Công nghệ thông tin (CNTT) và Thương mại điện tử (TMĐT) dựa trên dữ liệu tuyển dụng, từ đó rút ra nhận xét về kỹ năng, mức lương và xu hướng theo thời gian.</v>
      </c>
      <c r="L168" s="9" t="str">
        <f>IFERROR(__xludf.DUMMYFUNCTION("""COMPUTED_VALUE"""),"Thu thập và làm sạch dữ liệu tuyển dụng CNTT và TMĐT, phân tích kỹ năng, mức lương và xu hướng tuyển dụng theo thời gian, trực quan hóa kết quả bằng biểu đồ và tổng hợp báo cáo.")</f>
        <v>Thu thập và làm sạch dữ liệu tuyển dụng CNTT và TMĐT, phân tích kỹ năng, mức lương và xu hướng tuyển dụng theo thời gian, trực quan hóa kết quả bằng biểu đồ và tổng hợp báo cáo.</v>
      </c>
      <c r="M168" s="9"/>
      <c r="N168" s="9"/>
      <c r="O168" s="9"/>
      <c r="P168" s="9"/>
      <c r="Q168" s="9" t="str">
        <f>IFERROR(__xludf.DUMMYFUNCTION("""COMPUTED_VALUE"""),"TNDHLTK22_202610515")</f>
        <v>TNDHLTK22_202610515</v>
      </c>
    </row>
    <row r="169">
      <c r="A169" s="10">
        <f>IFERROR(__xludf.DUMMYFUNCTION("""COMPUTED_VALUE"""),46025.36492608796)</f>
        <v>46025.36493</v>
      </c>
      <c r="B169" s="9" t="str">
        <f>IFERROR(__xludf.DUMMYFUNCTION("""COMPUTED_VALUE"""),"baokun2311@gmail.com")</f>
        <v>baokun2311@gmail.com</v>
      </c>
      <c r="C169" s="9">
        <f>IFERROR(__xludf.DUMMYFUNCTION("""COMPUTED_VALUE"""),1.22001605E8)</f>
        <v>122001605</v>
      </c>
      <c r="D169" s="9" t="str">
        <f>IFERROR(__xludf.DUMMYFUNCTION("""COMPUTED_VALUE"""),"Nguyễn Võ Quốc Bảo")</f>
        <v>Nguyễn Võ Quốc Bảo</v>
      </c>
      <c r="E169" s="9" t="str">
        <f>IFERROR(__xludf.DUMMYFUNCTION("""COMPUTED_VALUE"""),"0855863968")</f>
        <v>0855863968</v>
      </c>
      <c r="F169" s="9" t="str">
        <f>IFERROR(__xludf.DUMMYFUNCTION("""COMPUTED_VALUE"""),"22CT112")</f>
        <v>22CT112</v>
      </c>
      <c r="G169" s="9" t="str">
        <f>IFERROR(__xludf.DUMMYFUNCTION("""COMPUTED_VALUE"""),"Thực hiện đồ án tốt nghiệp")</f>
        <v>Thực hiện đồ án tốt nghiệp</v>
      </c>
      <c r="H169" s="9" t="str">
        <f>IFERROR(__xludf.DUMMYFUNCTION("""COMPUTED_VALUE"""),"Nguyễn Minh Phúc")</f>
        <v>Nguyễn Minh Phúc</v>
      </c>
      <c r="I169" s="9"/>
      <c r="J169" s="9" t="str">
        <f>IFERROR(__xludf.DUMMYFUNCTION("""COMPUTED_VALUE"""),"XÂY DỰNG MÔ HÌNH PHÂN TÍCH MỨC ĐỘ HOÀN THÀNH VÀ GỢI Í CẤP ĐỘ HỌC TẬP TIẾP THEO CHO SINH VIÊN")</f>
        <v>XÂY DỰNG MÔ HÌNH PHÂN TÍCH MỨC ĐỘ HOÀN THÀNH VÀ GỢI Í CẤP ĐỘ HỌC TẬP TIẾP THEO CHO SINH VIÊN</v>
      </c>
      <c r="K169" s="9" t="str">
        <f>IFERROR(__xludf.DUMMYFUNCTION("""COMPUTED_VALUE"""),"Mục tiêu chính của đề tài là nghiên cứu và đề xuất mô hình phân tích mức độ hoàn thành học tập của sinh viên, từ đó gợi ý cấp độ học tập tiếp theo phù hợp với năng lực cá nhân.")</f>
        <v>Mục tiêu chính của đề tài là nghiên cứu và đề xuất mô hình phân tích mức độ hoàn thành học tập của sinh viên, từ đó gợi ý cấp độ học tập tiếp theo phù hợp với năng lực cá nhân.</v>
      </c>
      <c r="L169" s="9" t="str">
        <f>IFERROR(__xludf.DUMMYFUNCTION("""COMPUTED_VALUE"""),"Phân tích các loại dữ liệu học tập và hành vi tương tác của sinh viên trên hệ thống học tập trực tuyến.
Đề xuất phương pháp chuẩn hóa dữ liệu đầu vào về cùng một thang đo (1–10) để đánh giá mức độ hoàn thành của từng tiêu chí trong khóa học.
Phân chia sin"&amp;"h viên thành các nhóm mức độ hoàn thành (thấp – trung bình – cao) dựa trên dữ liệu đã chuẩn hóa.
Xây dựng mô hình logic gợi ý cấp độ học tập hoặc bài tập tiếp theo tương ứng với từng nhóm sinh viên.
Mô phỏng hoạt động của mô hình bằng dữ liệu giả lập, làm"&amp;" cơ sở cho việc triển khai và lập trình hệ thống trong giai đoạn sau.")</f>
        <v>Phân tích các loại dữ liệu học tập và hành vi tương tác của sinh viên trên hệ thống học tập trực tuyến.
Đề xuất phương pháp chuẩn hóa dữ liệu đầu vào về cùng một thang đo (1–10) để đánh giá mức độ hoàn thành của từng tiêu chí trong khóa học.
Phân chia sinh viên thành các nhóm mức độ hoàn thành (thấp – trung bình – cao) dựa trên dữ liệu đã chuẩn hóa.
Xây dựng mô hình logic gợi ý cấp độ học tập hoặc bài tập tiếp theo tương ứng với từng nhóm sinh viên.
Mô phỏng hoạt động của mô hình bằng dữ liệu giả lập, làm cơ sở cho việc triển khai và lập trình hệ thống trong giai đoạn sau.</v>
      </c>
      <c r="M169" s="9"/>
      <c r="N169" s="9"/>
      <c r="O169" s="9"/>
      <c r="P169" s="9"/>
      <c r="Q169" s="9" t="str">
        <f>IFERROR(__xludf.DUMMYFUNCTION("""COMPUTED_VALUE"""),"TNDHLTK22_202610515")</f>
        <v>TNDHLTK22_202610515</v>
      </c>
    </row>
    <row r="170">
      <c r="A170" s="10">
        <f>IFERROR(__xludf.DUMMYFUNCTION("""COMPUTED_VALUE"""),46025.379187025464)</f>
        <v>46025.37919</v>
      </c>
      <c r="B170" s="9" t="str">
        <f>IFERROR(__xludf.DUMMYFUNCTION("""COMPUTED_VALUE"""),"dinhconghieudch1610@gmail.com")</f>
        <v>dinhconghieudch1610@gmail.com</v>
      </c>
      <c r="C170" s="9">
        <f>IFERROR(__xludf.DUMMYFUNCTION("""COMPUTED_VALUE"""),1.22000156E8)</f>
        <v>122000156</v>
      </c>
      <c r="D170" s="9" t="str">
        <f>IFERROR(__xludf.DUMMYFUNCTION("""COMPUTED_VALUE"""),"Đinh Công Hiếu ")</f>
        <v>Đinh Công Hiếu </v>
      </c>
      <c r="E170" s="9" t="str">
        <f>IFERROR(__xludf.DUMMYFUNCTION("""COMPUTED_VALUE"""),"0978125614")</f>
        <v>0978125614</v>
      </c>
      <c r="F170" s="9" t="str">
        <f>IFERROR(__xludf.DUMMYFUNCTION("""COMPUTED_VALUE"""),"22CT113")</f>
        <v>22CT113</v>
      </c>
      <c r="G170" s="9" t="str">
        <f>IFERROR(__xludf.DUMMYFUNCTION("""COMPUTED_VALUE"""),"Thực hiện đồ án tốt nghiệp")</f>
        <v>Thực hiện đồ án tốt nghiệp</v>
      </c>
      <c r="H170" s="9" t="str">
        <f>IFERROR(__xludf.DUMMYFUNCTION("""COMPUTED_VALUE"""),"Đoàn Thiện Minh")</f>
        <v>Đoàn Thiện Minh</v>
      </c>
      <c r="I170" s="9"/>
      <c r="J170" s="9" t="str">
        <f>IFERROR(__xludf.DUMMYFUNCTION("""COMPUTED_VALUE"""),"	EatFitAI - Ứng dụng trí tuệ nhân tạo hỗ trợ theo dõi dinh dưỡng và sức khỏe")</f>
        <v>	EatFitAI - Ứng dụng trí tuệ nhân tạo hỗ trợ theo dõi dinh dưỡng và sức khỏe</v>
      </c>
      <c r="K170" s="9" t="str">
        <f>IFERROR(__xludf.DUMMYFUNCTION("""COMPUTED_VALUE"""),"Xây dựng ứng dụng di động theo dõi dinh dưỡng cá nhân hóa tích hợp trí tuệ nhân tạo (AI), giúp người dùng dễ dàng quản lý chế độ ăn uống hàng ngày thông qua công nghệ nhận diện hình ảnh và xử lý ngôn ngữ tự nhiên.")</f>
        <v>Xây dựng ứng dụng di động theo dõi dinh dưỡng cá nhân hóa tích hợp trí tuệ nhân tạo (AI), giúp người dùng dễ dàng quản lý chế độ ăn uống hàng ngày thông qua công nghệ nhận diện hình ảnh và xử lý ngôn ngữ tự nhiên.</v>
      </c>
      <c r="L170" s="9" t="str">
        <f>IFERROR(__xludf.DUMMYFUNCTION("""COMPUTED_VALUE"""),"Phân tích yêu cầu và thiết kế hệ thống (kiến trúc, CSDL, giao diện)
Xây dựng ứng dụng di động đa nền tảng (React Native/Expo)
Xây dựng Backend API (.NET 9, SQL Server)
Tích hợp AI nhận diện thực phẩm (YOLOv8)
Tích hợp AI tư vấn dinh dưỡng (LLM - Ollama)
T"&amp;"ích hợp điều khiển giọng nói tiếng Việt (Whisper)
Kiểm thử và triển khai ứng dụng")</f>
        <v>Phân tích yêu cầu và thiết kế hệ thống (kiến trúc, CSDL, giao diện)
Xây dựng ứng dụng di động đa nền tảng (React Native/Expo)
Xây dựng Backend API (.NET 9, SQL Server)
Tích hợp AI nhận diện thực phẩm (YOLOv8)
Tích hợp AI tư vấn dinh dưỡng (LLM - Ollama)
Tích hợp điều khiển giọng nói tiếng Việt (Whisper)
Kiểm thử và triển khai ứng dụng</v>
      </c>
      <c r="M170" s="9"/>
      <c r="N170" s="9"/>
      <c r="O170" s="9"/>
      <c r="P170" s="9"/>
      <c r="Q170" s="9" t="str">
        <f>IFERROR(__xludf.DUMMYFUNCTION("""COMPUTED_VALUE"""),"TNDHLTK22_202610515")</f>
        <v>TNDHLTK22_202610515</v>
      </c>
    </row>
    <row r="171">
      <c r="A171" s="10">
        <f>IFERROR(__xludf.DUMMYFUNCTION("""COMPUTED_VALUE"""),46025.5281596412)</f>
        <v>46025.52816</v>
      </c>
      <c r="B171" s="9" t="str">
        <f>IFERROR(__xludf.DUMMYFUNCTION("""COMPUTED_VALUE"""),"nguyenloc.nl08@gmail.com")</f>
        <v>nguyenloc.nl08@gmail.com</v>
      </c>
      <c r="C171" s="9">
        <f>IFERROR(__xludf.DUMMYFUNCTION("""COMPUTED_VALUE"""),1.22000416E8)</f>
        <v>122000416</v>
      </c>
      <c r="D171" s="9" t="str">
        <f>IFERROR(__xludf.DUMMYFUNCTION("""COMPUTED_VALUE"""),"Nguyễn Hữu Lộc")</f>
        <v>Nguyễn Hữu Lộc</v>
      </c>
      <c r="E171" s="9" t="str">
        <f>IFERROR(__xludf.DUMMYFUNCTION("""COMPUTED_VALUE"""),"0372517173")</f>
        <v>0372517173</v>
      </c>
      <c r="F171" s="9" t="str">
        <f>IFERROR(__xludf.DUMMYFUNCTION("""COMPUTED_VALUE"""),"22EC111")</f>
        <v>22EC111</v>
      </c>
      <c r="G171" s="9" t="str">
        <f>IFERROR(__xludf.DUMMYFUNCTION("""COMPUTED_VALUE"""),"Thực hiện đồ án tốt nghiệp")</f>
        <v>Thực hiện đồ án tốt nghiệp</v>
      </c>
      <c r="H171" s="9" t="str">
        <f>IFERROR(__xludf.DUMMYFUNCTION("""COMPUTED_VALUE"""),"Khác (nhập tên giáo viên vào mục dưới)")</f>
        <v>Khác (nhập tên giáo viên vào mục dưới)</v>
      </c>
      <c r="I171" s="9"/>
      <c r="J171" s="9" t="str">
        <f>IFERROR(__xludf.DUMMYFUNCTION("""COMPUTED_VALUE"""),"Đồ án Website Tiếp thị liên kết TikTok Shop")</f>
        <v>Đồ án Website Tiếp thị liên kết TikTok Shop</v>
      </c>
      <c r="K171" s="9" t="str">
        <f>IFERROR(__xludf.DUMMYFUNCTION("""COMPUTED_VALUE"""),"Xây dựng website mô phỏng hệ thống tiếp thị liên kết.")</f>
        <v>Xây dựng website mô phỏng hệ thống tiếp thị liên kết.</v>
      </c>
      <c r="L171" s="9" t="str">
        <f>IFERROR(__xludf.DUMMYFUNCTION("""COMPUTED_VALUE"""),"Phân tích, thiết kế và triển khai hệ thống affiliate thương mại điện tử.")</f>
        <v>Phân tích, thiết kế và triển khai hệ thống affiliate thương mại điện tử.</v>
      </c>
      <c r="M171" s="9"/>
      <c r="N171" s="9"/>
      <c r="O171" s="9"/>
      <c r="P171" s="9"/>
      <c r="Q171" s="9" t="str">
        <f>IFERROR(__xludf.DUMMYFUNCTION("""COMPUTED_VALUE"""),"TNDHLTK22_202610515")</f>
        <v>TNDHLTK22_202610515</v>
      </c>
    </row>
    <row r="172">
      <c r="A172" s="10">
        <f>IFERROR(__xludf.DUMMYFUNCTION("""COMPUTED_VALUE"""),46025.57853517361)</f>
        <v>46025.57854</v>
      </c>
      <c r="B172" s="9" t="str">
        <f>IFERROR(__xludf.DUMMYFUNCTION("""COMPUTED_VALUE"""),"manh.thai.170@gmail.com")</f>
        <v>manh.thai.170@gmail.com</v>
      </c>
      <c r="C172" s="9">
        <f>IFERROR(__xludf.DUMMYFUNCTION("""COMPUTED_VALUE"""),1.22000315E8)</f>
        <v>122000315</v>
      </c>
      <c r="D172" s="9" t="str">
        <f>IFERROR(__xludf.DUMMYFUNCTION("""COMPUTED_VALUE"""),"Trần Mạnh Thái ")</f>
        <v>Trần Mạnh Thái </v>
      </c>
      <c r="E172" s="9" t="str">
        <f>IFERROR(__xludf.DUMMYFUNCTION("""COMPUTED_VALUE"""),"0868994544")</f>
        <v>0868994544</v>
      </c>
      <c r="F172" s="9" t="str">
        <f>IFERROR(__xludf.DUMMYFUNCTION("""COMPUTED_VALUE"""),"22CT111")</f>
        <v>22CT111</v>
      </c>
      <c r="G172" s="9" t="str">
        <f>IFERROR(__xludf.DUMMYFUNCTION("""COMPUTED_VALUE"""),"Thực hiện đồ án tốt nghiệp")</f>
        <v>Thực hiện đồ án tốt nghiệp</v>
      </c>
      <c r="H172" s="9" t="str">
        <f>IFERROR(__xludf.DUMMYFUNCTION("""COMPUTED_VALUE"""),"Trần Thanh Phương")</f>
        <v>Trần Thanh Phương</v>
      </c>
      <c r="I172" s="9"/>
      <c r="J172" s="9" t="str">
        <f>IFERROR(__xludf.DUMMYFUNCTION("""COMPUTED_VALUE"""),"Ứng dụng Deep Learning để khám phá cấu trúc nhân quả phi tuyến tính từ dữ liệu.")</f>
        <v>Ứng dụng Deep Learning để khám phá cấu trúc nhân quả phi tuyến tính từ dữ liệu.</v>
      </c>
      <c r="K172" s="9" t="str">
        <f>IFERROR(__xludf.DUMMYFUNCTION("""COMPUTED_VALUE"""),"Đề xuất mô hình Học sâu (Deep Learning) tự động trích xuất đồ thị nguyên nhân - kết quả từ dữ liệu quan sát, tập trung cải thiện tính ổn định của thuật toán.
Nâng cao khả năng xử lý các mối quan hệ dữ liệu phi tuyến tính phức tạp so với các phương pháp tr"&amp;"uyền thống.")</f>
        <v>Đề xuất mô hình Học sâu (Deep Learning) tự động trích xuất đồ thị nguyên nhân - kết quả từ dữ liệu quan sát, tập trung cải thiện tính ổn định của thuật toán.
Nâng cao khả năng xử lý các mối quan hệ dữ liệu phi tuyến tính phức tạp so với các phương pháp truyền thống.</v>
      </c>
      <c r="L172" s="9" t="str">
        <f>IFERROR(__xludf.DUMMYFUNCTION("""COMPUTED_VALUE"""),"1. Nghiên cứu cơ sở lý thuyết:
- Tổng quan về Mô hình Nhân quả Cấu trúc (Structural Causal Models - SCM) và lý thuyết đồ thị (DAG).
- Phân tích phương pháp tối ưu hóa liên tục (continuous optimization) và nhận diện các hạn chế về hội tụ của các thuật toán"&amp;" hiện hành.
2. Thiết kế kiến trúc mô hình:
- Thiết lập kiến trúc mạng nơ-ron đa lớp (MLP) để xấp xỉ các hàm phi tuyến tính giữa các biến dữ liệu.
- Định nghĩa hàm mục tiêu (Objective Function) tích hợp ràng buộc đại số (acyclicity constraint) và cơ chế đi"&amp;"ều chuẩn (regularization) để định hướng cấu trúc thưa.
3. Hiện thực hóa thuật toán:
- Lập trình và huấn luyện mô hình trên framework PyTorch.
- Áp dụng kỹ thuật tối ưu hóa Augmented Lagrangian để giải quyết bài toán ràng buộc, đồng thời tinh chỉnh quy trì"&amp;"nh cập nhật trọng số để tránh cực tiểu địa phương.
4. Thực nghiệm và Đánh giá:
- Triển khai kiểm thử trên các tập dữ liệu giả lập (synthetic data) đa dạng (tuyến tính, phi tuyến, độ thưa khác nhau) có cấu trúc biết trước.
- Đánh giá hiệu năng dựa trên các"&amp;" độ đo định lượng như SHD (Structural Hamming Distance), F1-Score và so sánh kết quả với các thuật toán tham chiếu (PC Algorithm, NOTEARS, GES).")</f>
        <v>1. Nghiên cứu cơ sở lý thuyết:
- Tổng quan về Mô hình Nhân quả Cấu trúc (Structural Causal Models - SCM) và lý thuyết đồ thị (DAG).
- Phân tích phương pháp tối ưu hóa liên tục (continuous optimization) và nhận diện các hạn chế về hội tụ của các thuật toán hiện hành.
2. Thiết kế kiến trúc mô hình:
- Thiết lập kiến trúc mạng nơ-ron đa lớp (MLP) để xấp xỉ các hàm phi tuyến tính giữa các biến dữ liệu.
- Định nghĩa hàm mục tiêu (Objective Function) tích hợp ràng buộc đại số (acyclicity constraint) và cơ chế điều chuẩn (regularization) để định hướng cấu trúc thưa.
3. Hiện thực hóa thuật toán:
- Lập trình và huấn luyện mô hình trên framework PyTorch.
- Áp dụng kỹ thuật tối ưu hóa Augmented Lagrangian để giải quyết bài toán ràng buộc, đồng thời tinh chỉnh quy trình cập nhật trọng số để tránh cực tiểu địa phương.
4. Thực nghiệm và Đánh giá:
- Triển khai kiểm thử trên các tập dữ liệu giả lập (synthetic data) đa dạng (tuyến tính, phi tuyến, độ thưa khác nhau) có cấu trúc biết trước.
- Đánh giá hiệu năng dựa trên các độ đo định lượng như SHD (Structural Hamming Distance), F1-Score và so sánh kết quả với các thuật toán tham chiếu (PC Algorithm, NOTEARS, GES).</v>
      </c>
      <c r="M172" s="9"/>
      <c r="N172" s="9"/>
      <c r="O172" s="9"/>
      <c r="P172" s="9"/>
      <c r="Q172" s="9" t="str">
        <f>IFERROR(__xludf.DUMMYFUNCTION("""COMPUTED_VALUE"""),"TNDHLTK22_202610515")</f>
        <v>TNDHLTK22_202610515</v>
      </c>
    </row>
    <row r="173">
      <c r="A173" s="10">
        <f>IFERROR(__xludf.DUMMYFUNCTION("""COMPUTED_VALUE"""),46025.57931809028)</f>
        <v>46025.57932</v>
      </c>
      <c r="B173" s="9" t="str">
        <f>IFERROR(__xludf.DUMMYFUNCTION("""COMPUTED_VALUE"""),"tiphong05@gmail.com")</f>
        <v>tiphong05@gmail.com</v>
      </c>
      <c r="C173" s="9">
        <f>IFERROR(__xludf.DUMMYFUNCTION("""COMPUTED_VALUE"""),1.22001407E8)</f>
        <v>122001407</v>
      </c>
      <c r="D173" s="9" t="str">
        <f>IFERROR(__xludf.DUMMYFUNCTION("""COMPUTED_VALUE"""),"Nguyễn Ngọc Tuấn Anh")</f>
        <v>Nguyễn Ngọc Tuấn Anh</v>
      </c>
      <c r="E173" s="9" t="str">
        <f>IFERROR(__xludf.DUMMYFUNCTION("""COMPUTED_VALUE"""),"0345543986")</f>
        <v>0345543986</v>
      </c>
      <c r="F173" s="9" t="str">
        <f>IFERROR(__xludf.DUMMYFUNCTION("""COMPUTED_VALUE"""),"22CT115")</f>
        <v>22CT115</v>
      </c>
      <c r="G173" s="9" t="str">
        <f>IFERROR(__xludf.DUMMYFUNCTION("""COMPUTED_VALUE"""),"Thực hiện đồ án tốt nghiệp")</f>
        <v>Thực hiện đồ án tốt nghiệp</v>
      </c>
      <c r="H173" s="9" t="str">
        <f>IFERROR(__xludf.DUMMYFUNCTION("""COMPUTED_VALUE"""),"Hoàng Sỹ Hùng")</f>
        <v>Hoàng Sỹ Hùng</v>
      </c>
      <c r="I173" s="9" t="str">
        <f>IFERROR(__xludf.DUMMYFUNCTION("""COMPUTED_VALUE"""),"Hoàng Sỹ Hùng")</f>
        <v>Hoàng Sỹ Hùng</v>
      </c>
      <c r="J173" s="9" t="str">
        <f>IFERROR(__xludf.DUMMYFUNCTION("""COMPUTED_VALUE""")," AI Learning Platform")</f>
        <v> AI Learning Platform</v>
      </c>
      <c r="K173" s="9" t="str">
        <f>IFERROR(__xludf.DUMMYFUNCTION("""COMPUTED_VALUE"""),"1.1. Mục tiêu tổng quát
Xây dựng một nền tảng quản lý học tập (LMS) thế hệ mới, tích hợp sâu công nghệ trí tuệ nhân tạo (Generative AI) nhằm giải quyết các hạn chế của phương pháp học tập thụ động truyền thống. Hệ thống hướng đến việc cá nhân hóa tối đa l"&amp;"ộ trình học tập cho từng học viên, tự động hóa quy trình đánh giá năng lực và kiến tạo một môi trường học tập tương tác, giàu động lực.
1.2. Mục tiêu cụ thể
Đánh giá năng lực động (Dynamic AI Assessment):
Thay thế hình thức kiểm tra ngân hàng câu hỏi tĩ"&amp;"nh bằng việc sử dụng AI (Google Gemini) để sinh câu hỏi tự động theo thời gian thực.
Đảm bảo câu hỏi bám sát nội dung khóa học, phân loại chính xác trình độ học viên (Beginner/Intermediate/Advanced) và phát hiện ""lỗ hổng kiến thức"".
Cá nhân hóa việc t"&amp;"ạo nội dung học tập:
Cung cấp công cụ cho phép học viên tự tạo khóa học (Modules/Lessons/Outcomes) chỉ từ một câu lệnh mô tả (Prompt) thông qua AI.
Cho phép học viên tùy chỉnh, chỉnh sửa lại nội dung khóa học cá nhân trước khi xuất bản.
Hỗ trợ học tập "&amp;"thông minh theo ngữ cảnh:
Xây dựng Chatbot AI có khả năng hiểu ngữ cảnh (context) của khóa học, bài học và tài liệu để giải đáp thắc mắc cho học viên ngay lập tức.
Tự động đề xuất lộ trình học tập và bài tập luyện tập cá nhân hóa dựa trên kết quả sai củ"&amp;"a các bài Quiz.
Quản lý đào tạo toàn diện (LMS Core):
Cung cấp nền tảng quản lý lớp học cho Giảng viên (tạo lớp, mã mời, theo dõi tiến độ) và quản trị hệ thống cho Admin (quản lý người dùng, khóa học, giám sát sức khỏe hệ thống)")</f>
        <v>1.1. Mục tiêu tổng quát
Xây dựng một nền tảng quản lý học tập (LMS) thế hệ mới, tích hợp sâu công nghệ trí tuệ nhân tạo (Generative AI) nhằm giải quyết các hạn chế của phương pháp học tập thụ động truyền thống. Hệ thống hướng đến việc cá nhân hóa tối đa lộ trình học tập cho từng học viên, tự động hóa quy trình đánh giá năng lực và kiến tạo một môi trường học tập tương tác, giàu động lực.
1.2. Mục tiêu cụ thể
Đánh giá năng lực động (Dynamic AI Assessment):
Thay thế hình thức kiểm tra ngân hàng câu hỏi tĩnh bằng việc sử dụng AI (Google Gemini) để sinh câu hỏi tự động theo thời gian thực.
Đảm bảo câu hỏi bám sát nội dung khóa học, phân loại chính xác trình độ học viên (Beginner/Intermediate/Advanced) và phát hiện "lỗ hổng kiến thức".
Cá nhân hóa việc tạo nội dung học tập:
Cung cấp công cụ cho phép học viên tự tạo khóa học (Modules/Lessons/Outcomes) chỉ từ một câu lệnh mô tả (Prompt) thông qua AI.
Cho phép học viên tùy chỉnh, chỉnh sửa lại nội dung khóa học cá nhân trước khi xuất bản.
Hỗ trợ học tập thông minh theo ngữ cảnh:
Xây dựng Chatbot AI có khả năng hiểu ngữ cảnh (context) của khóa học, bài học và tài liệu để giải đáp thắc mắc cho học viên ngay lập tức.
Tự động đề xuất lộ trình học tập và bài tập luyện tập cá nhân hóa dựa trên kết quả sai của các bài Quiz.
Quản lý đào tạo toàn diện (LMS Core):
Cung cấp nền tảng quản lý lớp học cho Giảng viên (tạo lớp, mã mời, theo dõi tiến độ) và quản trị hệ thống cho Admin (quản lý người dùng, khóa học, giám sát sức khỏe hệ thống)</v>
      </c>
      <c r="L173" s="9" t="str">
        <f>IFERROR(__xludf.DUMMYFUNCTION("""COMPUTED_VALUE"""),"NỘI DUNG THỰC HIỆN CHI TIẾT: AI LEARNING PLATFORM
PHẦN 1: HẠ TẦNG &amp; TIỆN ÍCH NỀN TẢNG (INFRASTRUCTURE &amp; UTILITIES)
1. Module Xác thực &amp; Định danh (Auth &amp; Identity)
•	Chức năng 
o	Đăng ký/Đăng nhập/Đăng xuất.
o	Quản lý hồ sơ cá nhân.
o	Xác thực 2 yếu tố (2"&amp;"FA): Bảo vệ tài khoản Instructor/Admin.
o	Social Login: Đăng nhập nhanh qua Google/Facebook
2. Module Tiện ích Hệ thống 
•	Dịch vụ Upload (Media Service):
o	Tích hợp AWS S3 hoặc MinIO để lưu trữ Avatar, Thumbnail khóa học, Video bài giảng.
o	Cơ chế Presig"&amp;"ned URL để upload bảo mật.
•	Trung tâm Thông báo (Notification Center):
o	Thông báo và lưu lịch sử thông báo.
o	Các sự kiện kích hoạt: Có bài tập mới, Giảng viên trả lời câu hỏi, Nhắc lịch học.
________________________________________
PHẦN 2: QUẢN LÝ NỘI "&amp;"DUNG &amp; TƯƠNG TÁC (LMS CORE)
3. Module Khóa học &amp; Tìm kiếm (Course &amp; Discovery)
•	Chức năng 
o	Tìm kiếm toàn cục theo từ khóa, danh mục, cấp độ.
o	Hiển thị danh sách khóa học Public và Chi tiết khóa học đầy đủ.
o	Kiểm tra trạng thái ghi danh để điều hướng "&amp;"người dùng.
o	Đánh giá khóa học: Cho phép học viên chấm điểm sao và viết review.
4. Module Trải nghiệm Học tập (Learning Experience)
•	Chức năng 
o	Learning Player: Trình phát bài học hỗ trợ Video/Text, danh sách Modules, Tài nguyên đính kèm.
o	Tracking: "&amp;"Ghi nhận tiến độ học tập đa cấp (Course -&gt; Module -&gt; Lesson).
o	Unlock Mechanism: Chỉ mở bài tiếp theo khi bài trước hoàn thành (Xem xong + Pass Quiz).
o	Thảo luận bài học (Lesson Comments): Hệ thống hỏi đáp ngay dưới mỗi bài học (Nested comments) để tăng"&amp;" tương tác Peer-to-Peer.
________________________________________
PHẦN 3: TRÍ TUỆ NHÂN TẠO CÁ NHÂN HÓA (AI ENGINE)
5. Module Đánh giá Năng lực Động (Dynamic Assessment)
•	Quy trình thực hiện:
1.	Sinh đề: AI (Gemini) tạo bộ câu hỏi theo chủ đề và độ khó th"&amp;"ay vì lấy từ kho tĩnh.
2.	Làm bài &amp; Chấm điểm: Tính điểm trọng số (Dễ 1đ, Khó 3đ).
3.	Phân tích: AI chỉ ra ""Lỗ hổng kiến thức"" (Knowledge Gaps) và kỹ năng mạnh/yếu.
6. Module Khóa học Cá nhân &amp; Gợi ý (Personalization)
•	Chức năng 
o	Text-to-Course: AI s"&amp;"inh toàn bộ cấu trúc khóa học từ 1 câu mô tả.
o	Editor: Công cụ cho phép học viên chỉnh sửa, thêm bớt nội dung khóa học AI vừa tạo.
o	Recommendation: Gợi ý lộ trình học và bài tập luyện tập dựa trên lỗi sai của học viên.
7. Module Chatbot Trợ giảng (Conte"&amp;"xtual AI Tutor)
•	Chức năng 
o	Hỏi đáp ngữ cảnh): Chatbot ""đọc"" nội dung bài học hiện tại để trả lời chính xác thắc mắc của học viên.
o	Quản lý lịch sử hội thoại (Lưu/Xóa).
________________________________________
PHẦN 4: KIỂM TRA, ĐÁNH GIÁ &amp; KHEN THƯỞN"&amp;"G (ASSESSMENT &amp; GAMIFICATION)
8. Module Quiz &amp; Bài tập (Advanced Quiz System)
•	Chức năng 
o	Hỗ trợ đa dạng câu hỏi: Trắc nghiệm, Điền khuyết, Kéo thả.
o	Logic Pass: Đạt &gt;=70% điểm VÀ đúng hết câu điểm liệt.
o	Retake: AI sinh lại câu hỏi tương tự nhưng kh"&amp;"ác chi tiết để tránh học vẹt.
o	Instructor Tools: Giảng viên tạo Quiz tùy chỉnh và xem phân tích phổ điểm của lớp.
9. Module Khen thưởng &amp; Chứng nhận.
o	Cấp Chứng chỉ: Tự động sinh file PDF khi hoàn thành khóa học. 
o	Huy hiệu: Trao huy hiệu cho các thành"&amp;" tích (VD: ""Chuỗi 7 ngày học liên tiếp"").
o	Bảng xếp hạng: Xếp hạng học viên theo điểm số hoặc thời gian học.
________________________________________
PHẦN 5: QUẢN LÝ ĐÀO TẠO &amp; LỚP HỌC (INSTRUCTOR ZONE)
10. Module Lớp học
•	Chức năng gốc:
o	Tạo lớp từ k"&amp;"hóa học gốc -&gt; Tự động sinh Mã mời.
o	Quản lý danh sách học viên (Xem chi tiết/Xóa).
o	Học viên tham gia lớp bằng mã mời.
11. Module Phân tích Lớp học (Class Analytics)
•	Chức năng gốc:
o	Theo dõi tiến độ tổng thể của cả lớp.
o	Biểu đồ hiệu suất Quiz: Câu"&amp;" hỏi nào học viên hay sai nhất? Phổ điểm của lớp ra sao?.
________________________________________
PHẦN 6: QUẢN TRỊ &amp; KINH DOANH (ADMIN &amp; BUSINESS)
12. Module Quản trị Hệ thống (System Admin)
•	Chức năng gốc:
o	User Management: CRUD, Khóa tài khoản, Reset"&amp;" mật khẩu, Đổi Role.
o	Course Management: Duyệt khóa học, Chỉnh sửa/Xóa khóa học hệ thống.
o	System Health: Giám sát tải server, lỗi API, dung lượng database.
13. Module Báo cáo &amp; Dashboard (Central Dashboard)
•	Chức năng gốc:
o	Student Dashboard: Nhắc vi"&amp;"ệc (Quiz deadline), Streak, Biểu đồ tiến độ.
o	Instructor Dashboard: Tổng quan số lớp, số học viên, hoạt động gần đây.
o	Admin Dashboard: Tăng trưởng user (Growth chart), Top khóa học phổ biến.")</f>
        <v>NỘI DUNG THỰC HIỆN CHI TIẾT: AI LEARNING PLATFORM
PHẦN 1: HẠ TẦNG &amp; TIỆN ÍCH NỀN TẢNG (INFRASTRUCTURE &amp; UTILITIES)
1. Module Xác thực &amp; Định danh (Auth &amp; Identity)
•	Chức năng 
o	Đăng ký/Đăng nhập/Đăng xuất.
o	Quản lý hồ sơ cá nhân.
o	Xác thực 2 yếu tố (2FA): Bảo vệ tài khoản Instructor/Admin.
o	Social Login: Đăng nhập nhanh qua Google/Facebook
2. Module Tiện ích Hệ thống 
•	Dịch vụ Upload (Media Service):
o	Tích hợp AWS S3 hoặc MinIO để lưu trữ Avatar, Thumbnail khóa học, Video bài giảng.
o	Cơ chế Presigned URL để upload bảo mật.
•	Trung tâm Thông báo (Notification Center):
o	Thông báo và lưu lịch sử thông báo.
o	Các sự kiện kích hoạt: Có bài tập mới, Giảng viên trả lời câu hỏi, Nhắc lịch học.
________________________________________
PHẦN 2: QUẢN LÝ NỘI DUNG &amp; TƯƠNG TÁC (LMS CORE)
3. Module Khóa học &amp; Tìm kiếm (Course &amp; Discovery)
•	Chức năng 
o	Tìm kiếm toàn cục theo từ khóa, danh mục, cấp độ.
o	Hiển thị danh sách khóa học Public và Chi tiết khóa học đầy đủ.
o	Kiểm tra trạng thái ghi danh để điều hướng người dùng.
o	Đánh giá khóa học: Cho phép học viên chấm điểm sao và viết review.
4. Module Trải nghiệm Học tập (Learning Experience)
•	Chức năng 
o	Learning Player: Trình phát bài học hỗ trợ Video/Text, danh sách Modules, Tài nguyên đính kèm.
o	Tracking: Ghi nhận tiến độ học tập đa cấp (Course -&gt; Module -&gt; Lesson).
o	Unlock Mechanism: Chỉ mở bài tiếp theo khi bài trước hoàn thành (Xem xong + Pass Quiz).
o	Thảo luận bài học (Lesson Comments): Hệ thống hỏi đáp ngay dưới mỗi bài học (Nested comments) để tăng tương tác Peer-to-Peer.
________________________________________
PHẦN 3: TRÍ TUỆ NHÂN TẠO CÁ NHÂN HÓA (AI ENGINE)
5. Module Đánh giá Năng lực Động (Dynamic Assessment)
•	Quy trình thực hiện:
1.	Sinh đề: AI (Gemini) tạo bộ câu hỏi theo chủ đề và độ khó thay vì lấy từ kho tĩnh.
2.	Làm bài &amp; Chấm điểm: Tính điểm trọng số (Dễ 1đ, Khó 3đ).
3.	Phân tích: AI chỉ ra "Lỗ hổng kiến thức" (Knowledge Gaps) và kỹ năng mạnh/yếu.
6. Module Khóa học Cá nhân &amp; Gợi ý (Personalization)
•	Chức năng 
o	Text-to-Course: AI sinh toàn bộ cấu trúc khóa học từ 1 câu mô tả.
o	Editor: Công cụ cho phép học viên chỉnh sửa, thêm bớt nội dung khóa học AI vừa tạo.
o	Recommendation: Gợi ý lộ trình học và bài tập luyện tập dựa trên lỗi sai của học viên.
7. Module Chatbot Trợ giảng (Contextual AI Tutor)
•	Chức năng 
o	Hỏi đáp ngữ cảnh): Chatbot "đọc" nội dung bài học hiện tại để trả lời chính xác thắc mắc của học viên.
o	Quản lý lịch sử hội thoại (Lưu/Xóa).
________________________________________
PHẦN 4: KIỂM TRA, ĐÁNH GIÁ &amp; KHEN THƯỞNG (ASSESSMENT &amp; GAMIFICATION)
8. Module Quiz &amp; Bài tập (Advanced Quiz System)
•	Chức năng 
o	Hỗ trợ đa dạng câu hỏi: Trắc nghiệm, Điền khuyết, Kéo thả.
o	Logic Pass: Đạt &gt;=70% điểm VÀ đúng hết câu điểm liệt.
o	Retake: AI sinh lại câu hỏi tương tự nhưng khác chi tiết để tránh học vẹt.
o	Instructor Tools: Giảng viên tạo Quiz tùy chỉnh và xem phân tích phổ điểm của lớp.
9. Module Khen thưởng &amp; Chứng nhận.
o	Cấp Chứng chỉ: Tự động sinh file PDF khi hoàn thành khóa học. 
o	Huy hiệu: Trao huy hiệu cho các thành tích (VD: "Chuỗi 7 ngày học liên tiếp").
o	Bảng xếp hạng: Xếp hạng học viên theo điểm số hoặc thời gian học.
________________________________________
PHẦN 5: QUẢN LÝ ĐÀO TẠO &amp; LỚP HỌC (INSTRUCTOR ZONE)
10. Module Lớp học
•	Chức năng gốc:
o	Tạo lớp từ khóa học gốc -&gt; Tự động sinh Mã mời.
o	Quản lý danh sách học viên (Xem chi tiết/Xóa).
o	Học viên tham gia lớp bằng mã mời.
11. Module Phân tích Lớp học (Class Analytics)
•	Chức năng gốc:
o	Theo dõi tiến độ tổng thể của cả lớp.
o	Biểu đồ hiệu suất Quiz: Câu hỏi nào học viên hay sai nhất? Phổ điểm của lớp ra sao?.
________________________________________
PHẦN 6: QUẢN TRỊ &amp; KINH DOANH (ADMIN &amp; BUSINESS)
12. Module Quản trị Hệ thống (System Admin)
•	Chức năng gốc:
o	User Management: CRUD, Khóa tài khoản, Reset mật khẩu, Đổi Role.
o	Course Management: Duyệt khóa học, Chỉnh sửa/Xóa khóa học hệ thống.
o	System Health: Giám sát tải server, lỗi API, dung lượng database.
13. Module Báo cáo &amp; Dashboard (Central Dashboard)
•	Chức năng gốc:
o	Student Dashboard: Nhắc việc (Quiz deadline), Streak, Biểu đồ tiến độ.
o	Instructor Dashboard: Tổng quan số lớp, số học viên, hoạt động gần đây.
o	Admin Dashboard: Tăng trưởng user (Growth chart), Top khóa học phổ biến.</v>
      </c>
      <c r="M173" s="9"/>
      <c r="N173" s="9"/>
      <c r="O173" s="9"/>
      <c r="P173" s="9"/>
      <c r="Q173" s="9" t="str">
        <f>IFERROR(__xludf.DUMMYFUNCTION("""COMPUTED_VALUE"""),"TNDHLTK22_202610515")</f>
        <v>TNDHLTK22_202610515</v>
      </c>
    </row>
    <row r="174">
      <c r="A174" s="10">
        <f>IFERROR(__xludf.DUMMYFUNCTION("""COMPUTED_VALUE"""),46025.579350960645)</f>
        <v>46025.57935</v>
      </c>
      <c r="B174" s="9" t="str">
        <f>IFERROR(__xludf.DUMMYFUNCTION("""COMPUTED_VALUE"""),"monmon19122003@gmail.com")</f>
        <v>monmon19122003@gmail.com</v>
      </c>
      <c r="C174" s="9">
        <f>IFERROR(__xludf.DUMMYFUNCTION("""COMPUTED_VALUE"""),1.22000057E8)</f>
        <v>122000057</v>
      </c>
      <c r="D174" s="9" t="str">
        <f>IFERROR(__xludf.DUMMYFUNCTION("""COMPUTED_VALUE"""),"Diệp Thị Mỹ Hằng")</f>
        <v>Diệp Thị Mỹ Hằng</v>
      </c>
      <c r="E174" s="9" t="str">
        <f>IFERROR(__xludf.DUMMYFUNCTION("""COMPUTED_VALUE"""),"0937018921")</f>
        <v>0937018921</v>
      </c>
      <c r="F174" s="9" t="str">
        <f>IFERROR(__xludf.DUMMYFUNCTION("""COMPUTED_VALUE"""),"22CT111")</f>
        <v>22CT111</v>
      </c>
      <c r="G174" s="9" t="str">
        <f>IFERROR(__xludf.DUMMYFUNCTION("""COMPUTED_VALUE"""),"Thực hiện đồ án tốt nghiệp")</f>
        <v>Thực hiện đồ án tốt nghiệp</v>
      </c>
      <c r="H174" s="9" t="str">
        <f>IFERROR(__xludf.DUMMYFUNCTION("""COMPUTED_VALUE"""),"Trần Thanh Phương")</f>
        <v>Trần Thanh Phương</v>
      </c>
      <c r="I174" s="9"/>
      <c r="J174" s="9" t="str">
        <f>IFERROR(__xludf.DUMMYFUNCTION("""COMPUTED_VALUE"""),"Ứng dụng Deep Learning để khám phá cấu trúc nhân quả phi tuyến tính từ dữ liệu.")</f>
        <v>Ứng dụng Deep Learning để khám phá cấu trúc nhân quả phi tuyến tính từ dữ liệu.</v>
      </c>
      <c r="K174" s="9" t="str">
        <f>IFERROR(__xludf.DUMMYFUNCTION("""COMPUTED_VALUE"""),"- Đề xuất mô hình Học sâu (Deep Learning) tự động trích xuất đồ thị nguyên nhân - kết quả từ dữ liệu quan sát, tập trung cải thiện tính ổn định của thuật toán.
- Nâng cao khả năng xử lý các mối quan hệ dữ liệu phi tuyến tính phức tạp so với các phương phá"&amp;"p truyền thống.
")</f>
        <v>- Đề xuất mô hình Học sâu (Deep Learning) tự động trích xuất đồ thị nguyên nhân - kết quả từ dữ liệu quan sát, tập trung cải thiện tính ổn định của thuật toán.
- Nâng cao khả năng xử lý các mối quan hệ dữ liệu phi tuyến tính phức tạp so với các phương pháp truyền thống.
</v>
      </c>
      <c r="L174" s="9" t="str">
        <f>IFERROR(__xludf.DUMMYFUNCTION("""COMPUTED_VALUE"""),"1. Nghiên cứu cơ sở lý thuyết:
- Tổng quan về Mô hình Nhân quả Cấu trúc (Structural Causal Models - SCM) và lý thuyết đồ thị (DAG).
- Phân tích phương pháp tối ưu hóa liên tục (continuous optimization) và nhận diện các hạn chế về hội tụ của các thuật toán"&amp;" hiện hành.
2. Thiết kế kiến trúc mô hình:
- Thiết lập kiến trúc mạng nơ-ron đa lớp (MLP) để xấp xỉ các hàm phi tuyến tính giữa các biến dữ liệu.
- Định nghĩa hàm mục tiêu (Objective Function) tích hợp ràng buộc đại số (acyclicity constraint) và cơ chế đi"&amp;"ều chuẩn (regularization) để định hướng cấu trúc thưa.
3. Hiện thực hóa thuật toán:
- Lập trình và huấn luyện mô hình trên framework PyTorch.
- Áp dụng kỹ thuật tối ưu hóa Augmented Lagrangian để giải quyết bài toán ràng buộc, đồng thời tinh chỉnh quy trì"&amp;"nh cập nhật trọng số để tránh cực tiểu địa phương.
4. Thực nghiệm và Đánh giá:
- Triển khai kiểm thử trên các tập dữ liệu giả lập (synthetic data) đa dạng (tuyến tính, phi tuyến, độ thưa khác nhau) có cấu trúc biết trước.
- Đánh giá hiệu năng dựa trên các"&amp;" độ đo định lượng như SHD (Structural Hamming Distance), F1-Score và so sánh kết quả với các thuật toán tham chiếu (PC Algorithm, NOTEARS, GES).
")</f>
        <v>1. Nghiên cứu cơ sở lý thuyết:
- Tổng quan về Mô hình Nhân quả Cấu trúc (Structural Causal Models - SCM) và lý thuyết đồ thị (DAG).
- Phân tích phương pháp tối ưu hóa liên tục (continuous optimization) và nhận diện các hạn chế về hội tụ của các thuật toán hiện hành.
2. Thiết kế kiến trúc mô hình:
- Thiết lập kiến trúc mạng nơ-ron đa lớp (MLP) để xấp xỉ các hàm phi tuyến tính giữa các biến dữ liệu.
- Định nghĩa hàm mục tiêu (Objective Function) tích hợp ràng buộc đại số (acyclicity constraint) và cơ chế điều chuẩn (regularization) để định hướng cấu trúc thưa.
3. Hiện thực hóa thuật toán:
- Lập trình và huấn luyện mô hình trên framework PyTorch.
- Áp dụng kỹ thuật tối ưu hóa Augmented Lagrangian để giải quyết bài toán ràng buộc, đồng thời tinh chỉnh quy trình cập nhật trọng số để tránh cực tiểu địa phương.
4. Thực nghiệm và Đánh giá:
- Triển khai kiểm thử trên các tập dữ liệu giả lập (synthetic data) đa dạng (tuyến tính, phi tuyến, độ thưa khác nhau) có cấu trúc biết trước.
- Đánh giá hiệu năng dựa trên các độ đo định lượng như SHD (Structural Hamming Distance), F1-Score và so sánh kết quả với các thuật toán tham chiếu (PC Algorithm, NOTEARS, GES).
</v>
      </c>
      <c r="M174" s="9"/>
      <c r="N174" s="9"/>
      <c r="O174" s="9"/>
      <c r="P174" s="9"/>
      <c r="Q174" s="9" t="str">
        <f>IFERROR(__xludf.DUMMYFUNCTION("""COMPUTED_VALUE"""),"TNDHLTK22_202610515")</f>
        <v>TNDHLTK22_202610515</v>
      </c>
    </row>
    <row r="175">
      <c r="A175" s="10">
        <f>IFERROR(__xludf.DUMMYFUNCTION("""COMPUTED_VALUE"""),46025.58840212963)</f>
        <v>46025.5884</v>
      </c>
      <c r="B175" s="9" t="str">
        <f>IFERROR(__xludf.DUMMYFUNCTION("""COMPUTED_VALUE"""),"buiminh19102004@gmail.com")</f>
        <v>buiminh19102004@gmail.com</v>
      </c>
      <c r="C175" s="9">
        <f>IFERROR(__xludf.DUMMYFUNCTION("""COMPUTED_VALUE"""),1.22000759E8)</f>
        <v>122000759</v>
      </c>
      <c r="D175" s="9" t="str">
        <f>IFERROR(__xludf.DUMMYFUNCTION("""COMPUTED_VALUE"""),"Bùi Bình Minh")</f>
        <v>Bùi Bình Minh</v>
      </c>
      <c r="E175" s="9" t="str">
        <f>IFERROR(__xludf.DUMMYFUNCTION("""COMPUTED_VALUE"""),"0973212834")</f>
        <v>0973212834</v>
      </c>
      <c r="F175" s="9" t="str">
        <f>IFERROR(__xludf.DUMMYFUNCTION("""COMPUTED_VALUE"""),"22CT112")</f>
        <v>22CT112</v>
      </c>
      <c r="G175" s="9" t="str">
        <f>IFERROR(__xludf.DUMMYFUNCTION("""COMPUTED_VALUE"""),"Đặc cách tốt nghiệp")</f>
        <v>Đặc cách tốt nghiệp</v>
      </c>
      <c r="H175" s="9"/>
      <c r="I175" s="9"/>
      <c r="J175" s="9"/>
      <c r="K175" s="9"/>
      <c r="L175" s="9"/>
      <c r="M175" s="9"/>
      <c r="N175" s="9"/>
      <c r="O175" s="9">
        <f>IFERROR(__xludf.DUMMYFUNCTION("""COMPUTED_VALUE"""),9.0)</f>
        <v>9</v>
      </c>
      <c r="P175" s="11" t="str">
        <f>IFERROR(__xludf.DUMMYFUNCTION("""COMPUTED_VALUE"""),"https://drive.google.com/open?id=1_1O9NDq19-tU7dX0QiQ4tNgJXqnd_2Fu")</f>
        <v>https://drive.google.com/open?id=1_1O9NDq19-tU7dX0QiQ4tNgJXqnd_2Fu</v>
      </c>
      <c r="Q175" s="9" t="str">
        <f>IFERROR(__xludf.DUMMYFUNCTION("""COMPUTED_VALUE"""),"TNDHLTK22_202610515")</f>
        <v>TNDHLTK22_202610515</v>
      </c>
    </row>
    <row r="176">
      <c r="A176" s="10">
        <f>IFERROR(__xludf.DUMMYFUNCTION("""COMPUTED_VALUE"""),46025.59353408565)</f>
        <v>46025.59353</v>
      </c>
      <c r="B176" s="9" t="str">
        <f>IFERROR(__xludf.DUMMYFUNCTION("""COMPUTED_VALUE"""),"trunghauhoang18@gmail.com")</f>
        <v>trunghauhoang18@gmail.com</v>
      </c>
      <c r="C176" s="9">
        <f>IFERROR(__xludf.DUMMYFUNCTION("""COMPUTED_VALUE"""),1.22001374E8)</f>
        <v>122001374</v>
      </c>
      <c r="D176" s="9" t="str">
        <f>IFERROR(__xludf.DUMMYFUNCTION("""COMPUTED_VALUE"""),"Hoàng Trung Hậu")</f>
        <v>Hoàng Trung Hậu</v>
      </c>
      <c r="E176" s="9" t="str">
        <f>IFERROR(__xludf.DUMMYFUNCTION("""COMPUTED_VALUE"""),"0334401650")</f>
        <v>0334401650</v>
      </c>
      <c r="F176" s="9" t="str">
        <f>IFERROR(__xludf.DUMMYFUNCTION("""COMPUTED_VALUE"""),"22CT114")</f>
        <v>22CT114</v>
      </c>
      <c r="G176" s="9" t="str">
        <f>IFERROR(__xludf.DUMMYFUNCTION("""COMPUTED_VALUE"""),"Thực hiện đồ án tốt nghiệp")</f>
        <v>Thực hiện đồ án tốt nghiệp</v>
      </c>
      <c r="H176" s="9" t="str">
        <f>IFERROR(__xludf.DUMMYFUNCTION("""COMPUTED_VALUE"""),"Bùi Thị Thu Trang")</f>
        <v>Bùi Thị Thu Trang</v>
      </c>
      <c r="I176" s="9"/>
      <c r="J176" s="9" t="str">
        <f>IFERROR(__xludf.DUMMYFUNCTION("""COMPUTED_VALUE"""),"Giải pháp gợi ý sản phẩm bán hàng thông minh")</f>
        <v>Giải pháp gợi ý sản phẩm bán hàng thông minh</v>
      </c>
      <c r="K176" s="9" t="str">
        <f>IFERROR(__xludf.DUMMYFUNCTION("""COMPUTED_VALUE"""),"Nghiên cứu và xây dựng Mô hình Phân loại Ý định, giúp AI nhận biết mục 
đích của bình luận khách hàng (Hỏi hàng, Chốt đơn, v.v.). 
• Xây dựng Logic Gợi ý Sản phẩm, mô phỏng việc chọn sản phẩm phù hợp 
dựa trên Ý định khách hàng và Sản phẩm đang được giới "&amp;"thiệu. 
• Phát triển ứng dụng Demo, mô phỏng toàn bộ quy trình: Nhận bình luận → 
Phân tích AI → Gợi ý tự động.")</f>
        <v>Nghiên cứu và xây dựng Mô hình Phân loại Ý định, giúp AI nhận biết mục 
đích của bình luận khách hàng (Hỏi hàng, Chốt đơn, v.v.). 
• Xây dựng Logic Gợi ý Sản phẩm, mô phỏng việc chọn sản phẩm phù hợp 
dựa trên Ý định khách hàng và Sản phẩm đang được giới thiệu. 
• Phát triển ứng dụng Demo, mô phỏng toàn bộ quy trình: Nhận bình luận → 
Phân tích AI → Gợi ý tự động.</v>
      </c>
      <c r="L176" s="9" t="str">
        <f>IFERROR(__xludf.DUMMYFUNCTION("""COMPUTED_VALUE"""),"Sử dụng Trí tuệ nhân tạo (AI) để phân tích bình luận và hành vi của người xem. Hệ 
thống sẽ tự động gợi ý các sản phẩm phù hợp cho người mua với mục đích tăng 
cường tương tác, cải thiện tỷ lệ chuyển đổi và mang lại trải nghiệm mua sắm cá nhân 
hóa trên n"&amp;"ền tảng Thương mại điện tử. ")</f>
        <v>Sử dụng Trí tuệ nhân tạo (AI) để phân tích bình luận và hành vi của người xem. Hệ 
thống sẽ tự động gợi ý các sản phẩm phù hợp cho người mua với mục đích tăng 
cường tương tác, cải thiện tỷ lệ chuyển đổi và mang lại trải nghiệm mua sắm cá nhân 
hóa trên nền tảng Thương mại điện tử. </v>
      </c>
      <c r="M176" s="9"/>
      <c r="N176" s="9"/>
      <c r="O176" s="9"/>
      <c r="P176" s="9"/>
      <c r="Q176" s="9" t="str">
        <f>IFERROR(__xludf.DUMMYFUNCTION("""COMPUTED_VALUE"""),"TNDHLTK22_202610515")</f>
        <v>TNDHLTK22_202610515</v>
      </c>
    </row>
    <row r="177">
      <c r="A177" s="10">
        <f>IFERROR(__xludf.DUMMYFUNCTION("""COMPUTED_VALUE"""),46025.605351412036)</f>
        <v>46025.60535</v>
      </c>
      <c r="B177" s="9" t="str">
        <f>IFERROR(__xludf.DUMMYFUNCTION("""COMPUTED_VALUE"""),"nhi.bk@share4happy.com")</f>
        <v>nhi.bk@share4happy.com</v>
      </c>
      <c r="C177" s="9">
        <f>IFERROR(__xludf.DUMMYFUNCTION("""COMPUTED_VALUE"""),1.22000063E8)</f>
        <v>122000063</v>
      </c>
      <c r="D177" s="9" t="str">
        <f>IFERROR(__xludf.DUMMYFUNCTION("""COMPUTED_VALUE"""),"Bùi Kim Nhi")</f>
        <v>Bùi Kim Nhi</v>
      </c>
      <c r="E177" s="9" t="str">
        <f>IFERROR(__xludf.DUMMYFUNCTION("""COMPUTED_VALUE"""),"0347597434")</f>
        <v>0347597434</v>
      </c>
      <c r="F177" s="9" t="str">
        <f>IFERROR(__xludf.DUMMYFUNCTION("""COMPUTED_VALUE"""),"22CT113")</f>
        <v>22CT113</v>
      </c>
      <c r="G177" s="9" t="str">
        <f>IFERROR(__xludf.DUMMYFUNCTION("""COMPUTED_VALUE"""),"Đặc cách tốt nghiệp")</f>
        <v>Đặc cách tốt nghiệp</v>
      </c>
      <c r="H177" s="9"/>
      <c r="I177" s="9"/>
      <c r="J177" s="9"/>
      <c r="K177" s="9"/>
      <c r="L177" s="9"/>
      <c r="M177" s="9"/>
      <c r="N177" s="9"/>
      <c r="O177" s="9">
        <f>IFERROR(__xludf.DUMMYFUNCTION("""COMPUTED_VALUE"""),10.0)</f>
        <v>10</v>
      </c>
      <c r="P177" s="11" t="str">
        <f>IFERROR(__xludf.DUMMYFUNCTION("""COMPUTED_VALUE"""),"https://drive.google.com/open?id=1ppXO0EBPgxNgfkbLT8pIUlKgWCw6EJPh")</f>
        <v>https://drive.google.com/open?id=1ppXO0EBPgxNgfkbLT8pIUlKgWCw6EJPh</v>
      </c>
      <c r="Q177" s="9" t="str">
        <f>IFERROR(__xludf.DUMMYFUNCTION("""COMPUTED_VALUE"""),"TNDHLTK22_202610515")</f>
        <v>TNDHLTK22_202610515</v>
      </c>
    </row>
    <row r="178">
      <c r="A178" s="10">
        <f>IFERROR(__xludf.DUMMYFUNCTION("""COMPUTED_VALUE"""),46025.60716168981)</f>
        <v>46025.60716</v>
      </c>
      <c r="B178" s="9" t="str">
        <f>IFERROR(__xludf.DUMMYFUNCTION("""COMPUTED_VALUE"""),"buikimnhi214@gmail.com")</f>
        <v>buikimnhi214@gmail.com</v>
      </c>
      <c r="C178" s="9">
        <f>IFERROR(__xludf.DUMMYFUNCTION("""COMPUTED_VALUE"""),1.22000063E8)</f>
        <v>122000063</v>
      </c>
      <c r="D178" s="9" t="str">
        <f>IFERROR(__xludf.DUMMYFUNCTION("""COMPUTED_VALUE"""),"Bùi Kim Nhi")</f>
        <v>Bùi Kim Nhi</v>
      </c>
      <c r="E178" s="9" t="str">
        <f>IFERROR(__xludf.DUMMYFUNCTION("""COMPUTED_VALUE"""),"0347597434")</f>
        <v>0347597434</v>
      </c>
      <c r="F178" s="9" t="str">
        <f>IFERROR(__xludf.DUMMYFUNCTION("""COMPUTED_VALUE"""),"22CT113")</f>
        <v>22CT113</v>
      </c>
      <c r="G178" s="9" t="str">
        <f>IFERROR(__xludf.DUMMYFUNCTION("""COMPUTED_VALUE"""),"Đặc cách tốt nghiệp")</f>
        <v>Đặc cách tốt nghiệp</v>
      </c>
      <c r="H178" s="9"/>
      <c r="I178" s="9"/>
      <c r="J178" s="9"/>
      <c r="K178" s="9"/>
      <c r="L178" s="9"/>
      <c r="M178" s="9"/>
      <c r="N178" s="9" t="str">
        <f>IFERROR(__xludf.DUMMYFUNCTION("""COMPUTED_VALUE"""),"Đạt giải Nhất cuộc thi VietFuture 2025")</f>
        <v>Đạt giải Nhất cuộc thi VietFuture 2025</v>
      </c>
      <c r="O178" s="9">
        <f>IFERROR(__xludf.DUMMYFUNCTION("""COMPUTED_VALUE"""),10.0)</f>
        <v>10</v>
      </c>
      <c r="P178" s="11" t="str">
        <f>IFERROR(__xludf.DUMMYFUNCTION("""COMPUTED_VALUE"""),"https://drive.google.com/open?id=1x5g1ngKBlpA0bXV00ROrLQDiOuCS0KKI")</f>
        <v>https://drive.google.com/open?id=1x5g1ngKBlpA0bXV00ROrLQDiOuCS0KKI</v>
      </c>
      <c r="Q178" s="9" t="str">
        <f>IFERROR(__xludf.DUMMYFUNCTION("""COMPUTED_VALUE"""),"TNDHLTK22_202610515")</f>
        <v>TNDHLTK22_202610515</v>
      </c>
    </row>
    <row r="179">
      <c r="A179" s="10">
        <f>IFERROR(__xludf.DUMMYFUNCTION("""COMPUTED_VALUE"""),46025.609697141204)</f>
        <v>46025.6097</v>
      </c>
      <c r="B179" s="9" t="str">
        <f>IFERROR(__xludf.DUMMYFUNCTION("""COMPUTED_VALUE"""),"nt.lovephieule@gmail.com")</f>
        <v>nt.lovephieule@gmail.com</v>
      </c>
      <c r="C179" s="9">
        <f>IFERROR(__xludf.DUMMYFUNCTION("""COMPUTED_VALUE"""),1.22000587E8)</f>
        <v>122000587</v>
      </c>
      <c r="D179" s="9" t="str">
        <f>IFERROR(__xludf.DUMMYFUNCTION("""COMPUTED_VALUE"""),"Lê Hồng Phúc")</f>
        <v>Lê Hồng Phúc</v>
      </c>
      <c r="E179" s="9" t="str">
        <f>IFERROR(__xludf.DUMMYFUNCTION("""COMPUTED_VALUE"""),"0339842949")</f>
        <v>0339842949</v>
      </c>
      <c r="F179" s="9" t="str">
        <f>IFERROR(__xludf.DUMMYFUNCTION("""COMPUTED_VALUE"""),"22CT114")</f>
        <v>22CT114</v>
      </c>
      <c r="G179" s="9" t="str">
        <f>IFERROR(__xludf.DUMMYFUNCTION("""COMPUTED_VALUE"""),"Thực hiện đồ án tốt nghiệp")</f>
        <v>Thực hiện đồ án tốt nghiệp</v>
      </c>
      <c r="H179" s="9" t="str">
        <f>IFERROR(__xludf.DUMMYFUNCTION("""COMPUTED_VALUE"""),"Bùi Xuân Cảnh")</f>
        <v>Bùi Xuân Cảnh</v>
      </c>
      <c r="I179" s="9"/>
      <c r="J179" s="9" t="str">
        <f>IFERROR(__xludf.DUMMYFUNCTION("""COMPUTED_VALUE"""),"ứng dụng hỗ trợ người bệnh")</f>
        <v>ứng dụng hỗ trợ người bệnh</v>
      </c>
      <c r="K179" s="9" t="str">
        <f>IFERROR(__xludf.DUMMYFUNCTION("""COMPUTED_VALUE"""),"Kế thừa và hoàn thiện các chức năng đã xây dựng ở học phần Phát triển Ứng dụng.
Tăng cường bảo mật và quyền riêng tư dữ liệu sức khỏe người dùng, đặc biệt trong bối cảnh hệ thống có tích hợp AI để đề xuất gợi ý chăm sóc sức khỏe.
Phát triển cơ chế gợi ý t"&amp;"hông minh về chế độ ăn uống, hoạt động và nhắc nhở phù hợp với hồ sơ bệnh lý và thói quen người dùng.
Mở rộng chức năng quản lý đơn thuốc theo liệu trình điều trị, giảm thao tác nhập liệu lặp lại.
Bổ sung chức năng nhập đơn thuốc từ hình ảnh nhằm tăng tín"&amp;"h tiện lợi và độ chính xác.
Hoàn thiện chức năng xuất báo cáo sức khỏe dưới dạng PDF/Excel theo ngày, tuần và tháng.
Nâng cao trải nghiệm người dùng thông qua tối ưu UI/UX và khả năng nhập liệu tiếng Việt.
Đánh giá hiệu quả hệ thống và đề xuất hướng phát "&amp;"triển trong tương lai.")</f>
        <v>Kế thừa và hoàn thiện các chức năng đã xây dựng ở học phần Phát triển Ứng dụng.
Tăng cường bảo mật và quyền riêng tư dữ liệu sức khỏe người dùng, đặc biệt trong bối cảnh hệ thống có tích hợp AI để đề xuất gợi ý chăm sóc sức khỏe.
Phát triển cơ chế gợi ý thông minh về chế độ ăn uống, hoạt động và nhắc nhở phù hợp với hồ sơ bệnh lý và thói quen người dùng.
Mở rộng chức năng quản lý đơn thuốc theo liệu trình điều trị, giảm thao tác nhập liệu lặp lại.
Bổ sung chức năng nhập đơn thuốc từ hình ảnh nhằm tăng tính tiện lợi và độ chính xác.
Hoàn thiện chức năng xuất báo cáo sức khỏe dưới dạng PDF/Excel theo ngày, tuần và tháng.
Nâng cao trải nghiệm người dùng thông qua tối ưu UI/UX và khả năng nhập liệu tiếng Việt.
Đánh giá hiệu quả hệ thống và đề xuất hướng phát triển trong tương lai.</v>
      </c>
      <c r="L179" s="9" t="str">
        <f>IFERROR(__xludf.DUMMYFUNCTION("""COMPUTED_VALUE"""),"Rà soát hệ thống đã xây dựng, phân tích và mở rộng yêu cầu; cập nhật tài liệu SRS cho giai đoạn Tốt nghiệp.
Tăng cường bảo mật thông tin bệnh nhân thông qua mã hóa dữ liệu, phân quyền người dùng và kiểm soát dữ liệu sử dụng cho module AI.
Phát triển hệ th"&amp;"ống gợi ý chăm sóc sức khỏe thông minh dựa trên hồ sơ bệnh lý và lịch sử sử dụng của người dùng.
Mở rộng chức năng quản lý đơn thuốc theo liệu trình, hỗ trợ nhập đơn thuốc từ hình ảnh bằng công nghệ OCR.
Hoàn thiện chức năng xuất báo cáo sức khỏe định dạn"&amp;"g PDF/Excel theo ngày, tuần và tháng.
Tối ưu trải nghiệm người dùng, thực hiện kiểm thử, đánh giá hệ thống và hoàn thiện báo cáo tốt nghiệp, đề xuất hướng phát triển.")</f>
        <v>Rà soát hệ thống đã xây dựng, phân tích và mở rộng yêu cầu; cập nhật tài liệu SRS cho giai đoạn Tốt nghiệp.
Tăng cường bảo mật thông tin bệnh nhân thông qua mã hóa dữ liệu, phân quyền người dùng và kiểm soát dữ liệu sử dụng cho module AI.
Phát triển hệ thống gợi ý chăm sóc sức khỏe thông minh dựa trên hồ sơ bệnh lý và lịch sử sử dụng của người dùng.
Mở rộng chức năng quản lý đơn thuốc theo liệu trình, hỗ trợ nhập đơn thuốc từ hình ảnh bằng công nghệ OCR.
Hoàn thiện chức năng xuất báo cáo sức khỏe định dạng PDF/Excel theo ngày, tuần và tháng.
Tối ưu trải nghiệm người dùng, thực hiện kiểm thử, đánh giá hệ thống và hoàn thiện báo cáo tốt nghiệp, đề xuất hướng phát triển.</v>
      </c>
      <c r="M179" s="9"/>
      <c r="N179" s="9"/>
      <c r="O179" s="9"/>
      <c r="P179" s="9"/>
      <c r="Q179" s="9" t="str">
        <f>IFERROR(__xludf.DUMMYFUNCTION("""COMPUTED_VALUE"""),"TNDHLTK22_202610515")</f>
        <v>TNDHLTK22_202610515</v>
      </c>
    </row>
    <row r="180">
      <c r="A180" s="10">
        <f>IFERROR(__xludf.DUMMYFUNCTION("""COMPUTED_VALUE"""),46025.61485244213)</f>
        <v>46025.61485</v>
      </c>
      <c r="B180" s="9" t="str">
        <f>IFERROR(__xludf.DUMMYFUNCTION("""COMPUTED_VALUE"""),"nmquan19112004@gmail.com")</f>
        <v>nmquan19112004@gmail.com</v>
      </c>
      <c r="C180" s="9">
        <f>IFERROR(__xludf.DUMMYFUNCTION("""COMPUTED_VALUE"""),1.22000246E8)</f>
        <v>122000246</v>
      </c>
      <c r="D180" s="9" t="str">
        <f>IFERROR(__xludf.DUMMYFUNCTION("""COMPUTED_VALUE"""),"Ngô Minh Quân")</f>
        <v>Ngô Minh Quân</v>
      </c>
      <c r="E180" s="9" t="str">
        <f>IFERROR(__xludf.DUMMYFUNCTION("""COMPUTED_VALUE"""),"0931468624")</f>
        <v>0931468624</v>
      </c>
      <c r="F180" s="9" t="str">
        <f>IFERROR(__xludf.DUMMYFUNCTION("""COMPUTED_VALUE"""),"22CT111")</f>
        <v>22CT111</v>
      </c>
      <c r="G180" s="9" t="str">
        <f>IFERROR(__xludf.DUMMYFUNCTION("""COMPUTED_VALUE"""),"Thực hiện đồ án tốt nghiệp")</f>
        <v>Thực hiện đồ án tốt nghiệp</v>
      </c>
      <c r="H180" s="9" t="str">
        <f>IFERROR(__xludf.DUMMYFUNCTION("""COMPUTED_VALUE"""),"Nguyễn Minh Phúc")</f>
        <v>Nguyễn Minh Phúc</v>
      </c>
      <c r="I180" s="9"/>
      <c r="J180" s="9" t="str">
        <f>IFERROR(__xludf.DUMMYFUNCTION("""COMPUTED_VALUE"""),"ĐỀ XUẤT BÀI TẬP THEO CẤP ĐỘ NĂNG LỰC")</f>
        <v>ĐỀ XUẤT BÀI TẬP THEO CẤP ĐỘ NĂNG LỰC</v>
      </c>
      <c r="K180" s="9" t="str">
        <f>IFERROR(__xludf.DUMMYFUNCTION("""COMPUTED_VALUE"""),"Mục tiêu của dự án được xác định rõ ràng, tập trung vào việc hoàn thiện thành phần giao diện và kết nối dữ liệu")</f>
        <v>Mục tiêu của dự án được xác định rõ ràng, tập trung vào việc hoàn thiện thành phần giao diện và kết nối dữ liệu</v>
      </c>
      <c r="L180" s="9" t="str">
        <f>IFERROR(__xludf.DUMMYFUNCTION("""COMPUTED_VALUE"""),"Thiết kế luồng hoạt động, Thiết kế giao diện, Triển khai kỹ thuật")</f>
        <v>Thiết kế luồng hoạt động, Thiết kế giao diện, Triển khai kỹ thuật</v>
      </c>
      <c r="M180" s="9"/>
      <c r="N180" s="9"/>
      <c r="O180" s="9"/>
      <c r="P180" s="9"/>
      <c r="Q180" s="9" t="str">
        <f>IFERROR(__xludf.DUMMYFUNCTION("""COMPUTED_VALUE"""),"TNDHLTK22_202610515")</f>
        <v>TNDHLTK22_202610515</v>
      </c>
    </row>
    <row r="181">
      <c r="A181" s="10">
        <f>IFERROR(__xludf.DUMMYFUNCTION("""COMPUTED_VALUE"""),46025.62918375)</f>
        <v>46025.62918</v>
      </c>
      <c r="B181" s="9" t="str">
        <f>IFERROR(__xludf.DUMMYFUNCTION("""COMPUTED_VALUE"""),"lenguyenminhchien1513@gmail.com")</f>
        <v>lenguyenminhchien1513@gmail.com</v>
      </c>
      <c r="C181" s="9">
        <f>IFERROR(__xludf.DUMMYFUNCTION("""COMPUTED_VALUE"""),1.22000385E8)</f>
        <v>122000385</v>
      </c>
      <c r="D181" s="9" t="str">
        <f>IFERROR(__xludf.DUMMYFUNCTION("""COMPUTED_VALUE"""),"Lê Nguyễn Minh Chiến")</f>
        <v>Lê Nguyễn Minh Chiến</v>
      </c>
      <c r="E181" s="9" t="str">
        <f>IFERROR(__xludf.DUMMYFUNCTION("""COMPUTED_VALUE"""),"0982786983")</f>
        <v>0982786983</v>
      </c>
      <c r="F181" s="9" t="str">
        <f>IFERROR(__xludf.DUMMYFUNCTION("""COMPUTED_VALUE"""),"22CT111")</f>
        <v>22CT111</v>
      </c>
      <c r="G181" s="9" t="str">
        <f>IFERROR(__xludf.DUMMYFUNCTION("""COMPUTED_VALUE"""),"Thực hiện đồ án tốt nghiệp")</f>
        <v>Thực hiện đồ án tốt nghiệp</v>
      </c>
      <c r="H181" s="9" t="str">
        <f>IFERROR(__xludf.DUMMYFUNCTION("""COMPUTED_VALUE"""),"Nguyễn Vũ Thiên Phúc")</f>
        <v>Nguyễn Vũ Thiên Phúc</v>
      </c>
      <c r="I181" s="9"/>
      <c r="J181" s="9" t="str">
        <f>IFERROR(__xludf.DUMMYFUNCTION("""COMPUTED_VALUE"""),"Nghiên cứu, sử dụng phần mềm Snort tìm kiếm lỗ hổng hệ thống máy tính và đề xuất các giải pháp phòng tấn công lỗ hổng")</f>
        <v>Nghiên cứu, sử dụng phần mềm Snort tìm kiếm lỗ hổng hệ thống máy tính và đề xuất các giải pháp phòng tấn công lỗ hổng</v>
      </c>
      <c r="K181" s="9" t="str">
        <f>IFERROR(__xludf.DUMMYFUNCTION("""COMPUTED_VALUE"""),"Nghiên cứu, sử dụng phần mềm Snort tìm kiếm lỗ hỏng hệ thống máy tính
Đề xuất các giải pháp phòng tấn công lỗ hỏng")</f>
        <v>Nghiên cứu, sử dụng phần mềm Snort tìm kiếm lỗ hỏng hệ thống máy tính
Đề xuất các giải pháp phòng tấn công lỗ hỏng</v>
      </c>
      <c r="L181" s="9" t="str">
        <f>IFERROR(__xludf.DUMMYFUNCTION("""COMPUTED_VALUE"""),"Nghiên cứu, sử dụng phần mềm Snort tìm kiếm lỗ hỏng hệ thống máy tính
Đề xuất các giải pháp phòng tấn công lỗ hỏng")</f>
        <v>Nghiên cứu, sử dụng phần mềm Snort tìm kiếm lỗ hỏng hệ thống máy tính
Đề xuất các giải pháp phòng tấn công lỗ hỏng</v>
      </c>
      <c r="M181" s="9"/>
      <c r="N181" s="9"/>
      <c r="O181" s="9"/>
      <c r="P181" s="9"/>
      <c r="Q181" s="9" t="str">
        <f>IFERROR(__xludf.DUMMYFUNCTION("""COMPUTED_VALUE"""),"TNDHLTK22_202610515")</f>
        <v>TNDHLTK22_202610515</v>
      </c>
    </row>
    <row r="182">
      <c r="A182" s="10">
        <f>IFERROR(__xludf.DUMMYFUNCTION("""COMPUTED_VALUE"""),46025.644796747685)</f>
        <v>46025.6448</v>
      </c>
      <c r="B182" s="9" t="str">
        <f>IFERROR(__xludf.DUMMYFUNCTION("""COMPUTED_VALUE"""),"nguyentrantrungkien2222@gmail.com")</f>
        <v>nguyentrantrungkien2222@gmail.com</v>
      </c>
      <c r="C182" s="9">
        <f>IFERROR(__xludf.DUMMYFUNCTION("""COMPUTED_VALUE"""),1.22000336E8)</f>
        <v>122000336</v>
      </c>
      <c r="D182" s="9" t="str">
        <f>IFERROR(__xludf.DUMMYFUNCTION("""COMPUTED_VALUE"""),"Nguyễn Trần Trung Kiên")</f>
        <v>Nguyễn Trần Trung Kiên</v>
      </c>
      <c r="E182" s="9" t="str">
        <f>IFERROR(__xludf.DUMMYFUNCTION("""COMPUTED_VALUE"""),"0888827445")</f>
        <v>0888827445</v>
      </c>
      <c r="F182" s="9" t="str">
        <f>IFERROR(__xludf.DUMMYFUNCTION("""COMPUTED_VALUE"""),"22CT111")</f>
        <v>22CT111</v>
      </c>
      <c r="G182" s="9" t="str">
        <f>IFERROR(__xludf.DUMMYFUNCTION("""COMPUTED_VALUE"""),"Thực hiện đồ án tốt nghiệp")</f>
        <v>Thực hiện đồ án tốt nghiệp</v>
      </c>
      <c r="H182" s="9" t="str">
        <f>IFERROR(__xludf.DUMMYFUNCTION("""COMPUTED_VALUE"""),"Nguyễn Minh Phúc")</f>
        <v>Nguyễn Minh Phúc</v>
      </c>
      <c r="I182" s="9"/>
      <c r="J182" s="9" t="str">
        <f>IFERROR(__xludf.DUMMYFUNCTION("""COMPUTED_VALUE"""),"XÂY DỰNG NGÂN HÀNG BÀI TẬP LẬP TRÌNH THEO CẤP ĐỘ ĐỂ PHỤC VỤ HỆ THỐNG GỢI Ý CÁ NHÂN HÓA")</f>
        <v>XÂY DỰNG NGÂN HÀNG BÀI TẬP LẬP TRÌNH THEO CẤP ĐỘ ĐỂ PHỤC VỤ HỆ THỐNG GỢI Ý CÁ NHÂN HÓA</v>
      </c>
      <c r="K182" s="9" t="str">
        <f>IFERROR(__xludf.DUMMYFUNCTION("""COMPUTED_VALUE"""),"Mục tiêu của đề tài:
• Xây dựng một ngân hàng bài tập lập trình chuẩn hóa, phân loại theo cấp độ,
phục vụ nhu cầu học tập cá nhân hóa.
• Phát triển hệ thống API để truy vấn bài tập và tích hợp thuật toán gợi ý dựa
trên dữ liệu người dùng.
• Cung cấp giao "&amp;"diện web đơn giản, hiện đại, hỗ trợ tìm kiếm và hiển thị bài
tập theo yêu cầu.
Kết quả của đề tài:
• Ngân hàng bài tập gồm 60 bài lập trình, mỗi bài có metadata đầy đủ (mô tả,
cấp độ, tags, input/output mẫu, gợi ý giải).
• Hệ thống lưu trữ dữ liệu bài tập"&amp;" trong SQL Server, hỗ trợ truy vấn nhanh
qua API RESTful (Flask).
• Giao diện web (HTML/CSS với Bootstrap) cho phép người dùng tìm kiếm bài
tập theo cấp độ, tags, và nhận gợi ý cá nhân hóa dựa trên lịch sử làm bài
(mô phỏng).
• Tài liệu hướng dẫn chi tiết"&amp;" về cấu trúc bài tập, cách phân loại cấp độ, và cách sử dụng hệ thống")</f>
        <v>Mục tiêu của đề tài:
• Xây dựng một ngân hàng bài tập lập trình chuẩn hóa, phân loại theo cấp độ,
phục vụ nhu cầu học tập cá nhân hóa.
• Phát triển hệ thống API để truy vấn bài tập và tích hợp thuật toán gợi ý dựa
trên dữ liệu người dùng.
• Cung cấp giao diện web đơn giản, hiện đại, hỗ trợ tìm kiếm và hiển thị bài
tập theo yêu cầu.
Kết quả của đề tài:
• Ngân hàng bài tập gồm 60 bài lập trình, mỗi bài có metadata đầy đủ (mô tả,
cấp độ, tags, input/output mẫu, gợi ý giải).
• Hệ thống lưu trữ dữ liệu bài tập trong SQL Server, hỗ trợ truy vấn nhanh
qua API RESTful (Flask).
• Giao diện web (HTML/CSS với Bootstrap) cho phép người dùng tìm kiếm bài
tập theo cấp độ, tags, và nhận gợi ý cá nhân hóa dựa trên lịch sử làm bài
(mô phỏng).
• Tài liệu hướng dẫn chi tiết về cấu trúc bài tập, cách phân loại cấp độ, và cách sử dụng hệ thống</v>
      </c>
      <c r="L182" s="9" t="str">
        <f>IFERROR(__xludf.DUMMYFUNCTION("""COMPUTED_VALUE"""),"
Đề tài tập trung vào việc xây dựng một ngân hàng bài tập lập trình (60 bài, phân chia thành 3 cấp độ: Beginner, Intermediate, Advanced) sử dụng ngôn ngữ Python, kết hợp với hệ thống gợi ý cá nhân hóa dựa trên trí tuệ nhân tạo. Hệ thống cho phép
lưu trữ b"&amp;"ài tập trong cơ sở dữ liệu SQL Server, cung cấp API RESTful để truy vấn bài tập theo cấp độ và từ khóa, đồng thời tích hợp thuật toán gợi ý đơn giản (dựa trên tags và lịch sử người dùng). Kết quả mong đợi là một hệ thống hỗ trợ học lập trình hiệu quả, giú"&amp;"p sinh viên cải thiện kỹ năng qua các bài tập phù hợp trình độ, với giao diện hiện đại và dễ sử dụng.")</f>
        <v>
Đề tài tập trung vào việc xây dựng một ngân hàng bài tập lập trình (60 bài, phân chia thành 3 cấp độ: Beginner, Intermediate, Advanced) sử dụng ngôn ngữ Python, kết hợp với hệ thống gợi ý cá nhân hóa dựa trên trí tuệ nhân tạo. Hệ thống cho phép
lưu trữ bài tập trong cơ sở dữ liệu SQL Server, cung cấp API RESTful để truy vấn bài tập theo cấp độ và từ khóa, đồng thời tích hợp thuật toán gợi ý đơn giản (dựa trên tags và lịch sử người dùng). Kết quả mong đợi là một hệ thống hỗ trợ học lập trình hiệu quả, giúp sinh viên cải thiện kỹ năng qua các bài tập phù hợp trình độ, với giao diện hiện đại và dễ sử dụng.</v>
      </c>
      <c r="M182" s="9"/>
      <c r="N182" s="9"/>
      <c r="O182" s="9"/>
      <c r="P182" s="9"/>
      <c r="Q182" s="9" t="str">
        <f>IFERROR(__xludf.DUMMYFUNCTION("""COMPUTED_VALUE"""),"TNDHLTK22_202610515")</f>
        <v>TNDHLTK22_202610515</v>
      </c>
    </row>
    <row r="183">
      <c r="A183" s="10">
        <f>IFERROR(__xludf.DUMMYFUNCTION("""COMPUTED_VALUE"""),46025.66121922454)</f>
        <v>46025.66122</v>
      </c>
      <c r="B183" s="9" t="str">
        <f>IFERROR(__xludf.DUMMYFUNCTION("""COMPUTED_VALUE"""),"nhoknhat19@gmail.com")</f>
        <v>nhoknhat19@gmail.com</v>
      </c>
      <c r="C183" s="9">
        <f>IFERROR(__xludf.DUMMYFUNCTION("""COMPUTED_VALUE"""),1.22000917E8)</f>
        <v>122000917</v>
      </c>
      <c r="D183" s="9" t="str">
        <f>IFERROR(__xludf.DUMMYFUNCTION("""COMPUTED_VALUE"""),"Hoàng Thanh Nhật")</f>
        <v>Hoàng Thanh Nhật</v>
      </c>
      <c r="E183" s="9" t="str">
        <f>IFERROR(__xludf.DUMMYFUNCTION("""COMPUTED_VALUE"""),"0387011726")</f>
        <v>0387011726</v>
      </c>
      <c r="F183" s="9" t="str">
        <f>IFERROR(__xludf.DUMMYFUNCTION("""COMPUTED_VALUE"""),"22CT112")</f>
        <v>22CT112</v>
      </c>
      <c r="G183" s="9" t="str">
        <f>IFERROR(__xludf.DUMMYFUNCTION("""COMPUTED_VALUE"""),"Đặc cách tốt nghiệp")</f>
        <v>Đặc cách tốt nghiệp</v>
      </c>
      <c r="H183" s="9"/>
      <c r="I183" s="9"/>
      <c r="J183" s="9"/>
      <c r="K183" s="9"/>
      <c r="L183" s="9"/>
      <c r="M183" s="9"/>
      <c r="N183" s="9">
        <f>IFERROR(__xludf.DUMMYFUNCTION("""COMPUTED_VALUE"""),1.0)</f>
        <v>1</v>
      </c>
      <c r="O183" s="9">
        <f>IFERROR(__xludf.DUMMYFUNCTION("""COMPUTED_VALUE"""),10.0)</f>
        <v>10</v>
      </c>
      <c r="P183" s="11" t="str">
        <f>IFERROR(__xludf.DUMMYFUNCTION("""COMPUTED_VALUE"""),"https://drive.google.com/open?id=1UlszVi36NgZ0E_bkrFB1mia7SvpocJc0")</f>
        <v>https://drive.google.com/open?id=1UlszVi36NgZ0E_bkrFB1mia7SvpocJc0</v>
      </c>
      <c r="Q183" s="9" t="str">
        <f>IFERROR(__xludf.DUMMYFUNCTION("""COMPUTED_VALUE"""),"TNDHLTK22_202610515")</f>
        <v>TNDHLTK22_202610515</v>
      </c>
    </row>
    <row r="184">
      <c r="A184" s="10">
        <f>IFERROR(__xludf.DUMMYFUNCTION("""COMPUTED_VALUE"""),46025.67894359954)</f>
        <v>46025.67894</v>
      </c>
      <c r="B184" s="9" t="str">
        <f>IFERROR(__xludf.DUMMYFUNCTION("""COMPUTED_VALUE"""),"phungthaison12345@gmail.com")</f>
        <v>phungthaison12345@gmail.com</v>
      </c>
      <c r="C184" s="9">
        <f>IFERROR(__xludf.DUMMYFUNCTION("""COMPUTED_VALUE"""),1.22000827E8)</f>
        <v>122000827</v>
      </c>
      <c r="D184" s="9" t="str">
        <f>IFERROR(__xludf.DUMMYFUNCTION("""COMPUTED_VALUE"""),"Phùng Thái Sơn")</f>
        <v>Phùng Thái Sơn</v>
      </c>
      <c r="E184" s="9" t="str">
        <f>IFERROR(__xludf.DUMMYFUNCTION("""COMPUTED_VALUE"""),"0337989392")</f>
        <v>0337989392</v>
      </c>
      <c r="F184" s="9" t="str">
        <f>IFERROR(__xludf.DUMMYFUNCTION("""COMPUTED_VALUE"""),"22CT115")</f>
        <v>22CT115</v>
      </c>
      <c r="G184" s="9" t="str">
        <f>IFERROR(__xludf.DUMMYFUNCTION("""COMPUTED_VALUE"""),"Thực hiện đồ án tốt nghiệp")</f>
        <v>Thực hiện đồ án tốt nghiệp</v>
      </c>
      <c r="H184" s="9" t="str">
        <f>IFERROR(__xludf.DUMMYFUNCTION("""COMPUTED_VALUE"""),"Bùi Thị Thu Trang")</f>
        <v>Bùi Thị Thu Trang</v>
      </c>
      <c r="I184" s="9"/>
      <c r="J184" s="9" t="str">
        <f>IFERROR(__xludf.DUMMYFUNCTION("""COMPUTED_VALUE""")," Quản lý cửa hàng")</f>
        <v> Quản lý cửa hàng</v>
      </c>
      <c r="K184" s="9" t="str">
        <f>IFERROR(__xludf.DUMMYFUNCTION("""COMPUTED_VALUE"""),"Xây dựng hệ thống web quản lý cửa hàng nhằm hỗ trợ số hóa các hoạt động quản lý bán hàng, quản lý sản phẩm, khách hàng và đơn hàng.")</f>
        <v>Xây dựng hệ thống web quản lý cửa hàng nhằm hỗ trợ số hóa các hoạt động quản lý bán hàng, quản lý sản phẩm, khách hàng và đơn hàng.</v>
      </c>
      <c r="L184" s="9" t="str">
        <f>IFERROR(__xludf.DUMMYFUNCTION("""COMPUTED_VALUE"""),"Khảo sát và phân tích yêu cầu quản lý cửa hàng thực tế
Thiết kế cơ sở dữ liệu và mô hình phân quyền người dùng
Xây dựng hệ thống web quản lý sản phẩm, khách hàng và đơn hàng
Phát triển các chức năng bán hàng, thanh toán và thống kê báo cáo
Thiết kế gi"&amp;"ao diện thân thiện, dễ sử dụng
Kiểm thử, đánh giá và hoàn thiện hệ thống")</f>
        <v>Khảo sát và phân tích yêu cầu quản lý cửa hàng thực tế
Thiết kế cơ sở dữ liệu và mô hình phân quyền người dùng
Xây dựng hệ thống web quản lý sản phẩm, khách hàng và đơn hàng
Phát triển các chức năng bán hàng, thanh toán và thống kê báo cáo
Thiết kế giao diện thân thiện, dễ sử dụng
Kiểm thử, đánh giá và hoàn thiện hệ thống</v>
      </c>
      <c r="M184" s="9"/>
      <c r="N184" s="9"/>
      <c r="O184" s="9"/>
      <c r="P184" s="9"/>
      <c r="Q184" s="9" t="str">
        <f>IFERROR(__xludf.DUMMYFUNCTION("""COMPUTED_VALUE"""),"TNDHLTK22_202610515")</f>
        <v>TNDHLTK22_202610515</v>
      </c>
    </row>
    <row r="185">
      <c r="A185" s="10">
        <f>IFERROR(__xludf.DUMMYFUNCTION("""COMPUTED_VALUE"""),46025.68128148148)</f>
        <v>46025.68128</v>
      </c>
      <c r="B185" s="9" t="str">
        <f>IFERROR(__xludf.DUMMYFUNCTION("""COMPUTED_VALUE"""),"lehoangnguyenhacker@gmail.com")</f>
        <v>lehoangnguyenhacker@gmail.com</v>
      </c>
      <c r="C185" s="9">
        <f>IFERROR(__xludf.DUMMYFUNCTION("""COMPUTED_VALUE"""),1.22001144E8)</f>
        <v>122001144</v>
      </c>
      <c r="D185" s="9" t="str">
        <f>IFERROR(__xludf.DUMMYFUNCTION("""COMPUTED_VALUE"""),"Lê Hoàng Nguyên")</f>
        <v>Lê Hoàng Nguyên</v>
      </c>
      <c r="E185" s="9" t="str">
        <f>IFERROR(__xludf.DUMMYFUNCTION("""COMPUTED_VALUE"""),"0345703317")</f>
        <v>0345703317</v>
      </c>
      <c r="F185" s="9" t="str">
        <f>IFERROR(__xludf.DUMMYFUNCTION("""COMPUTED_VALUE"""),"22CT112")</f>
        <v>22CT112</v>
      </c>
      <c r="G185" s="9" t="str">
        <f>IFERROR(__xludf.DUMMYFUNCTION("""COMPUTED_VALUE"""),"Thực hiện đồ án tốt nghiệp")</f>
        <v>Thực hiện đồ án tốt nghiệp</v>
      </c>
      <c r="H185" s="9" t="str">
        <f>IFERROR(__xludf.DUMMYFUNCTION("""COMPUTED_VALUE"""),"Nguyễn Văn Phi")</f>
        <v>Nguyễn Văn Phi</v>
      </c>
      <c r="I185" s="9" t="str">
        <f>IFERROR(__xludf.DUMMYFUNCTION("""COMPUTED_VALUE"""),"Nguyễn Văn Phi")</f>
        <v>Nguyễn Văn Phi</v>
      </c>
      <c r="J185" s="9" t="str">
        <f>IFERROR(__xludf.DUMMYFUNCTION("""COMPUTED_VALUE"""),"Xây dựng mô hình ứng dụng ảo hoá cho doanh nghiệp")</f>
        <v>Xây dựng mô hình ứng dụng ảo hoá cho doanh nghiệp</v>
      </c>
      <c r="K185" s="9" t="str">
        <f>IFERROR(__xludf.DUMMYFUNCTION("""COMPUTED_VALUE"""),"Hoàn thành mô hình 80-90%")</f>
        <v>Hoàn thành mô hình 80-90%</v>
      </c>
      <c r="L185" s="9" t="str">
        <f>IFERROR(__xludf.DUMMYFUNCTION("""COMPUTED_VALUE"""),"Xây dựng được mô hình")</f>
        <v>Xây dựng được mô hình</v>
      </c>
      <c r="M185" s="9"/>
      <c r="N185" s="9"/>
      <c r="O185" s="9"/>
      <c r="P185" s="9"/>
      <c r="Q185" s="9" t="str">
        <f>IFERROR(__xludf.DUMMYFUNCTION("""COMPUTED_VALUE"""),"TNDHLTK22_202610515")</f>
        <v>TNDHLTK22_202610515</v>
      </c>
    </row>
    <row r="186">
      <c r="A186" s="10">
        <f>IFERROR(__xludf.DUMMYFUNCTION("""COMPUTED_VALUE"""),46025.68499422453)</f>
        <v>46025.68499</v>
      </c>
      <c r="B186" s="9" t="str">
        <f>IFERROR(__xludf.DUMMYFUNCTION("""COMPUTED_VALUE"""),"procnttdzaivl@gmail.com")</f>
        <v>procnttdzaivl@gmail.com</v>
      </c>
      <c r="C186" s="9">
        <f>IFERROR(__xludf.DUMMYFUNCTION("""COMPUTED_VALUE"""),1.22001472E8)</f>
        <v>122001472</v>
      </c>
      <c r="D186" s="9" t="str">
        <f>IFERROR(__xludf.DUMMYFUNCTION("""COMPUTED_VALUE"""),"Nguyễn Văn Mạnh ")</f>
        <v>Nguyễn Văn Mạnh </v>
      </c>
      <c r="E186" s="9" t="str">
        <f>IFERROR(__xludf.DUMMYFUNCTION("""COMPUTED_VALUE"""),"0866066583")</f>
        <v>0866066583</v>
      </c>
      <c r="F186" s="9" t="str">
        <f>IFERROR(__xludf.DUMMYFUNCTION("""COMPUTED_VALUE"""),"22CT115")</f>
        <v>22CT115</v>
      </c>
      <c r="G186" s="9" t="str">
        <f>IFERROR(__xludf.DUMMYFUNCTION("""COMPUTED_VALUE"""),"Thực hiện đồ án tốt nghiệp")</f>
        <v>Thực hiện đồ án tốt nghiệp</v>
      </c>
      <c r="H186" s="9" t="str">
        <f>IFERROR(__xludf.DUMMYFUNCTION("""COMPUTED_VALUE"""),"Phan Thị Hường")</f>
        <v>Phan Thị Hường</v>
      </c>
      <c r="I186" s="9"/>
      <c r="J186" s="9" t="str">
        <f>IFERROR(__xludf.DUMMYFUNCTION("""COMPUTED_VALUE"""),"Xây dựng game Rpg pixel RPG")</f>
        <v>Xây dựng game Rpg pixel RPG</v>
      </c>
      <c r="K186" s="9" t="str">
        <f>IFERROR(__xludf.DUMMYFUNCTION("""COMPUTED_VALUE"""),"Xây dựng hệ thống game RPG hoàn chỉnh có thể chơi được trên nền tảng di động ")</f>
        <v>Xây dựng hệ thống game RPG hoàn chỉnh có thể chơi được trên nền tảng di động </v>
      </c>
      <c r="L186" s="9" t="str">
        <f>IFERROR(__xludf.DUMMYFUNCTION("""COMPUTED_VALUE"""),"Cài đặt hệ thống online
Cài đặt người chơi và quái
Cài đặt hệ thống quản lý chung")</f>
        <v>Cài đặt hệ thống online
Cài đặt người chơi và quái
Cài đặt hệ thống quản lý chung</v>
      </c>
      <c r="M186" s="9"/>
      <c r="N186" s="9"/>
      <c r="O186" s="9"/>
      <c r="P186" s="9"/>
      <c r="Q186" s="9" t="str">
        <f>IFERROR(__xludf.DUMMYFUNCTION("""COMPUTED_VALUE"""),"TNDHLTK22_202610515")</f>
        <v>TNDHLTK22_202610515</v>
      </c>
    </row>
    <row r="187">
      <c r="A187" s="10">
        <f>IFERROR(__xludf.DUMMYFUNCTION("""COMPUTED_VALUE"""),46025.718518194444)</f>
        <v>46025.71852</v>
      </c>
      <c r="B187" s="9" t="str">
        <f>IFERROR(__xludf.DUMMYFUNCTION("""COMPUTED_VALUE"""),"khoa9709@gmail.com")</f>
        <v>khoa9709@gmail.com</v>
      </c>
      <c r="C187" s="9">
        <f>IFERROR(__xludf.DUMMYFUNCTION("""COMPUTED_VALUE"""),1.22000386E8)</f>
        <v>122000386</v>
      </c>
      <c r="D187" s="9" t="str">
        <f>IFERROR(__xludf.DUMMYFUNCTION("""COMPUTED_VALUE"""),"Trần Đăng Khoa")</f>
        <v>Trần Đăng Khoa</v>
      </c>
      <c r="E187" s="9" t="str">
        <f>IFERROR(__xludf.DUMMYFUNCTION("""COMPUTED_VALUE"""),"0914753165")</f>
        <v>0914753165</v>
      </c>
      <c r="F187" s="9" t="str">
        <f>IFERROR(__xludf.DUMMYFUNCTION("""COMPUTED_VALUE"""),"22CT111")</f>
        <v>22CT111</v>
      </c>
      <c r="G187" s="9" t="str">
        <f>IFERROR(__xludf.DUMMYFUNCTION("""COMPUTED_VALUE"""),"Thực hiện đồ án tốt nghiệp")</f>
        <v>Thực hiện đồ án tốt nghiệp</v>
      </c>
      <c r="H187" s="9" t="str">
        <f>IFERROR(__xludf.DUMMYFUNCTION("""COMPUTED_VALUE"""),"Nguyễn Vũ Thiên Phúc")</f>
        <v>Nguyễn Vũ Thiên Phúc</v>
      </c>
      <c r="I187" s="9"/>
      <c r="J187" s="9" t="str">
        <f>IFERROR(__xludf.DUMMYFUNCTION("""COMPUTED_VALUE"""),"Nghiên cứu, sử dụng phần mềm Snort tìm kiếm lỗ hổng hệ thống máy tính và đề xuất các giải pháp phòng tấn công lỗ hổng ")</f>
        <v>Nghiên cứu, sử dụng phần mềm Snort tìm kiếm lỗ hổng hệ thống máy tính và đề xuất các giải pháp phòng tấn công lỗ hổng </v>
      </c>
      <c r="K187" s="9" t="str">
        <f>IFERROR(__xludf.DUMMYFUNCTION("""COMPUTED_VALUE"""),"Nghiên cứu, sử dụng phần mềm Snort tìm kiếm lỗ hổng hệ thống máy tính
Đề xuất các giải pháp phòng tấn công lỗ hổng ")</f>
        <v>Nghiên cứu, sử dụng phần mềm Snort tìm kiếm lỗ hổng hệ thống máy tính
Đề xuất các giải pháp phòng tấn công lỗ hổng </v>
      </c>
      <c r="L187" s="9" t="str">
        <f>IFERROR(__xludf.DUMMYFUNCTION("""COMPUTED_VALUE"""),"Nghiên cứu, sử dụng phần mềm Snort tìm kiếm lỗ hổng hệ thống máy tính
Đề xuất các giải pháp phòng tấn công lỗ hổng ")</f>
        <v>Nghiên cứu, sử dụng phần mềm Snort tìm kiếm lỗ hổng hệ thống máy tính
Đề xuất các giải pháp phòng tấn công lỗ hổng </v>
      </c>
      <c r="M187" s="9"/>
      <c r="N187" s="9"/>
      <c r="O187" s="9"/>
      <c r="P187" s="9"/>
      <c r="Q187" s="9" t="str">
        <f>IFERROR(__xludf.DUMMYFUNCTION("""COMPUTED_VALUE"""),"TNDHLTK22_202610515")</f>
        <v>TNDHLTK22_202610515</v>
      </c>
    </row>
    <row r="188">
      <c r="A188" s="10">
        <f>IFERROR(__xludf.DUMMYFUNCTION("""COMPUTED_VALUE"""),46025.719848946756)</f>
        <v>46025.71985</v>
      </c>
      <c r="B188" s="9" t="str">
        <f>IFERROR(__xludf.DUMMYFUNCTION("""COMPUTED_VALUE"""),"ttdat1109@gmail.com")</f>
        <v>ttdat1109@gmail.com</v>
      </c>
      <c r="C188" s="9">
        <f>IFERROR(__xludf.DUMMYFUNCTION("""COMPUTED_VALUE"""),1.22000796E8)</f>
        <v>122000796</v>
      </c>
      <c r="D188" s="9" t="str">
        <f>IFERROR(__xludf.DUMMYFUNCTION("""COMPUTED_VALUE"""),"Trần Tấn Đạt")</f>
        <v>Trần Tấn Đạt</v>
      </c>
      <c r="E188" s="9" t="str">
        <f>IFERROR(__xludf.DUMMYFUNCTION("""COMPUTED_VALUE"""),"0772792004")</f>
        <v>0772792004</v>
      </c>
      <c r="F188" s="9" t="str">
        <f>IFERROR(__xludf.DUMMYFUNCTION("""COMPUTED_VALUE"""),"22CT113")</f>
        <v>22CT113</v>
      </c>
      <c r="G188" s="9" t="str">
        <f>IFERROR(__xludf.DUMMYFUNCTION("""COMPUTED_VALUE"""),"Thực hiện đồ án tốt nghiệp")</f>
        <v>Thực hiện đồ án tốt nghiệp</v>
      </c>
      <c r="H188" s="9" t="str">
        <f>IFERROR(__xludf.DUMMYFUNCTION("""COMPUTED_VALUE"""),"Phan Mạnh Thường")</f>
        <v>Phan Mạnh Thường</v>
      </c>
      <c r="I188" s="9"/>
      <c r="J188" s="9" t="str">
        <f>IFERROR(__xludf.DUMMYFUNCTION("""COMPUTED_VALUE"""),"Xây dựng ứng dụng cảnh báo học vụ")</f>
        <v>Xây dựng ứng dụng cảnh báo học vụ</v>
      </c>
      <c r="K188" s="9" t="str">
        <f>IFERROR(__xludf.DUMMYFUNCTION("""COMPUTED_VALUE"""),"Thu thập và vc đông bộ dữ liệu ")</f>
        <v>Thu thập và vc đông bộ dữ liệu </v>
      </c>
      <c r="L188" s="9" t="str">
        <f>IFERROR(__xludf.DUMMYFUNCTION("""COMPUTED_VALUE"""),"Hệ thống phải có API hoặc mô dự , lấy dữ liệu điểm số")</f>
        <v>Hệ thống phải có API hoặc mô dự , lấy dữ liệu điểm số</v>
      </c>
      <c r="M188" s="9"/>
      <c r="N188" s="9"/>
      <c r="O188" s="9"/>
      <c r="P188" s="9"/>
      <c r="Q188" s="9" t="str">
        <f>IFERROR(__xludf.DUMMYFUNCTION("""COMPUTED_VALUE"""),"TNDHLTK22_202610515")</f>
        <v>TNDHLTK22_202610515</v>
      </c>
    </row>
    <row r="189">
      <c r="A189" s="10">
        <f>IFERROR(__xludf.DUMMYFUNCTION("""COMPUTED_VALUE"""),46025.73329253472)</f>
        <v>46025.73329</v>
      </c>
      <c r="B189" s="9" t="str">
        <f>IFERROR(__xludf.DUMMYFUNCTION("""COMPUTED_VALUE"""),"nguyenhuy251201@gmail.com")</f>
        <v>nguyenhuy251201@gmail.com</v>
      </c>
      <c r="C189" s="9">
        <f>IFERROR(__xludf.DUMMYFUNCTION("""COMPUTED_VALUE"""),1.22000082E8)</f>
        <v>122000082</v>
      </c>
      <c r="D189" s="9" t="str">
        <f>IFERROR(__xludf.DUMMYFUNCTION("""COMPUTED_VALUE"""),"Nguyễn Hoàng Huy")</f>
        <v>Nguyễn Hoàng Huy</v>
      </c>
      <c r="E189" s="9" t="str">
        <f>IFERROR(__xludf.DUMMYFUNCTION("""COMPUTED_VALUE"""),"07075103810")</f>
        <v>07075103810</v>
      </c>
      <c r="F189" s="9" t="str">
        <f>IFERROR(__xludf.DUMMYFUNCTION("""COMPUTED_VALUE"""),"22CT114")</f>
        <v>22CT114</v>
      </c>
      <c r="G189" s="9" t="str">
        <f>IFERROR(__xludf.DUMMYFUNCTION("""COMPUTED_VALUE"""),"Thực hiện đồ án tốt nghiệp")</f>
        <v>Thực hiện đồ án tốt nghiệp</v>
      </c>
      <c r="H189" s="9" t="str">
        <f>IFERROR(__xludf.DUMMYFUNCTION("""COMPUTED_VALUE"""),"Bùi Thị Thu Trang")</f>
        <v>Bùi Thị Thu Trang</v>
      </c>
      <c r="I189" s="9"/>
      <c r="J189" s="9" t="str">
        <f>IFERROR(__xludf.DUMMYFUNCTION("""COMPUTED_VALUE"""),"GIẢI PHÁP GỢI Ý SẢN PHẨM BÁN HÀNG THÔNG MINH")</f>
        <v>GIẢI PHÁP GỢI Ý SẢN PHẨM BÁN HÀNG THÔNG MINH</v>
      </c>
      <c r="K189" s="9" t="str">
        <f>IFERROR(__xludf.DUMMYFUNCTION("""COMPUTED_VALUE"""),"XÂY DỰNG SMART AI HỖ TRỢ NGƯỜI DÙNG")</f>
        <v>XÂY DỰNG SMART AI HỖ TRỢ NGƯỜI DÙNG</v>
      </c>
      <c r="L189" s="9" t="str">
        <f>IFERROR(__xludf.DUMMYFUNCTION("""COMPUTED_VALUE"""),"Sử dụng n8n tạo workflow chạy ngầm, mọi thao tác và hoạt động gói gọn trong website")</f>
        <v>Sử dụng n8n tạo workflow chạy ngầm, mọi thao tác và hoạt động gói gọn trong website</v>
      </c>
      <c r="M189" s="9"/>
      <c r="N189" s="9"/>
      <c r="O189" s="9"/>
      <c r="P189" s="9"/>
      <c r="Q189" s="9" t="str">
        <f>IFERROR(__xludf.DUMMYFUNCTION("""COMPUTED_VALUE"""),"TNDHLTK22_202610515")</f>
        <v>TNDHLTK22_202610515</v>
      </c>
    </row>
    <row r="190">
      <c r="A190" s="10">
        <f>IFERROR(__xludf.DUMMYFUNCTION("""COMPUTED_VALUE"""),46025.737339444444)</f>
        <v>46025.73734</v>
      </c>
      <c r="B190" s="9" t="str">
        <f>IFERROR(__xludf.DUMMYFUNCTION("""COMPUTED_VALUE"""),"jagodears2811@gmail.com")</f>
        <v>jagodears2811@gmail.com</v>
      </c>
      <c r="C190" s="9">
        <f>IFERROR(__xludf.DUMMYFUNCTION("""COMPUTED_VALUE"""),1.22001481E8)</f>
        <v>122001481</v>
      </c>
      <c r="D190" s="9" t="str">
        <f>IFERROR(__xludf.DUMMYFUNCTION("""COMPUTED_VALUE"""),"LƯƠNG ĐỨC MẠNH")</f>
        <v>LƯƠNG ĐỨC MẠNH</v>
      </c>
      <c r="E190" s="9" t="str">
        <f>IFERROR(__xludf.DUMMYFUNCTION("""COMPUTED_VALUE"""),"0362798072")</f>
        <v>0362798072</v>
      </c>
      <c r="F190" s="9" t="str">
        <f>IFERROR(__xludf.DUMMYFUNCTION("""COMPUTED_VALUE"""),"22CT115")</f>
        <v>22CT115</v>
      </c>
      <c r="G190" s="9" t="str">
        <f>IFERROR(__xludf.DUMMYFUNCTION("""COMPUTED_VALUE"""),"Thực hiện đồ án tốt nghiệp")</f>
        <v>Thực hiện đồ án tốt nghiệp</v>
      </c>
      <c r="H190" s="9" t="str">
        <f>IFERROR(__xludf.DUMMYFUNCTION("""COMPUTED_VALUE"""),"Hoàng Sỹ Hùng")</f>
        <v>Hoàng Sỹ Hùng</v>
      </c>
      <c r="I190" s="9" t="str">
        <f>IFERROR(__xludf.DUMMYFUNCTION("""COMPUTED_VALUE"""),"Hoàng Sỹ Hùng")</f>
        <v>Hoàng Sỹ Hùng</v>
      </c>
      <c r="J190" s="9" t="str">
        <f>IFERROR(__xludf.DUMMYFUNCTION("""COMPUTED_VALUE"""),"AI Learning Platform")</f>
        <v>AI Learning Platform</v>
      </c>
      <c r="K190" s="9" t="str">
        <f>IFERROR(__xludf.DUMMYFUNCTION("""COMPUTED_VALUE"""),"MỤC TIÊU ĐỀ TÀI
1.1. Mục tiêu tổng quát
Xây dựng một nền tảng quản lý học tập (LMS) thế hệ mới, tích hợp sâu công nghệ trí tuệ nhân tạo (Generative AI) nhằm giải quyết các hạn chế của phương pháp học tập thụ động truyền thống. Hệ thống hướng đến việc cá n"&amp;"hân hóa tối đa lộ trình học tập cho từng học viên, tự động hóa quy trình đánh giá năng lực và kiến tạo một môi trường học tập tương tác, giàu động lực.
1.2. Mục tiêu cụ thể
Đánh giá năng lực động (Dynamic AI Assessment):
Thay thế hình thức kiểm tra ngân "&amp;"hàng câu hỏi tĩnh bằng việc sử dụng AI (Google Gemini) để sinh câu hỏi tự động theo thời gian thực.
Đảm bảo câu hỏi bám sát nội dung khóa học, phân loại chính xác trình độ học viên (Beginner/Intermediate/Advanced) và phát hiện ""lỗ hổng kiến thức"".
Cá "&amp;"nhân hóa việc tạo nội dung học tập:
Cung cấp công cụ cho phép học viên tự tạo khóa học (Modules/Lessons/Outcomes) chỉ từ một câu lệnh mô tả (Prompt) thông qua AI.
Cho phép học viên tùy chỉnh, chỉnh sửa lại nội dung khóa học cá nhân trước khi xuất bản.
"&amp;"Hỗ trợ học tập thông minh theo ngữ cảnh:
Xây dựng Chatbot AI có khả năng hiểu ngữ cảnh (context) của khóa học, bài học và tài liệu để giải đáp thắc mắc cho học viên ngay lập tức.
Tự động đề xuất lộ trình học tập và bài tập luyện tập cá nhân hóa dựa trên"&amp;" kết quả sai của các bài Quiz.
Quản lý đào tạo toàn diện (LMS Core):
Cung cấp nền tảng quản lý lớp học cho Giảng viên (tạo lớp, mã mời, theo dõi tiến độ) và quản trị hệ thống cho Admin (quản lý người dùng, khóa học, giám sát sức khỏe hệ thống).")</f>
        <v>MỤC TIÊU ĐỀ TÀI
1.1. Mục tiêu tổng quát
Xây dựng một nền tảng quản lý học tập (LMS) thế hệ mới, tích hợp sâu công nghệ trí tuệ nhân tạo (Generative AI) nhằm giải quyết các hạn chế của phương pháp học tập thụ động truyền thống. Hệ thống hướng đến việc cá nhân hóa tối đa lộ trình học tập cho từng học viên, tự động hóa quy trình đánh giá năng lực và kiến tạo một môi trường học tập tương tác, giàu động lực.
1.2. Mục tiêu cụ thể
Đánh giá năng lực động (Dynamic AI Assessment):
Thay thế hình thức kiểm tra ngân hàng câu hỏi tĩnh bằng việc sử dụng AI (Google Gemini) để sinh câu hỏi tự động theo thời gian thực.
Đảm bảo câu hỏi bám sát nội dung khóa học, phân loại chính xác trình độ học viên (Beginner/Intermediate/Advanced) và phát hiện "lỗ hổng kiến thức".
Cá nhân hóa việc tạo nội dung học tập:
Cung cấp công cụ cho phép học viên tự tạo khóa học (Modules/Lessons/Outcomes) chỉ từ một câu lệnh mô tả (Prompt) thông qua AI.
Cho phép học viên tùy chỉnh, chỉnh sửa lại nội dung khóa học cá nhân trước khi xuất bản.
Hỗ trợ học tập thông minh theo ngữ cảnh:
Xây dựng Chatbot AI có khả năng hiểu ngữ cảnh (context) của khóa học, bài học và tài liệu để giải đáp thắc mắc cho học viên ngay lập tức.
Tự động đề xuất lộ trình học tập và bài tập luyện tập cá nhân hóa dựa trên kết quả sai của các bài Quiz.
Quản lý đào tạo toàn diện (LMS Core):
Cung cấp nền tảng quản lý lớp học cho Giảng viên (tạo lớp, mã mời, theo dõi tiến độ) và quản trị hệ thống cho Admin (quản lý người dùng, khóa học, giám sát sức khỏe hệ thống).</v>
      </c>
      <c r="L190" s="9" t="str">
        <f>IFERROR(__xludf.DUMMYFUNCTION("""COMPUTED_VALUE"""),"NỘI DUNG THỰC HIỆN CHI TIẾT: AI LEARNING PLATFORM
PHẦN 1: HẠ TẦNG &amp; TIỆN ÍCH NỀN TẢNG (INFRASTRUCTURE &amp; UTILITIES)
1. Module Xác thực &amp; Định danh (Auth &amp; Identity)
•	Chức năng 
o	Đăng ký/Đăng nhập/Đăng xuất.
o	Quản lý hồ sơ cá nhân.
o	Xác thực 2 yếu tố (2"&amp;"FA): Bảo vệ tài khoản Instructor/Admin.
o	Social Login: Đăng nhập nhanh qua Google/Facebook
2. Module Tiện ích Hệ thống 
•	Dịch vụ Upload (Media Service):
o	Tích hợp AWS S3 hoặc MinIO để lưu trữ Avatar, Thumbnail khóa học, Video bài giảng.
o	Cơ chế Presig"&amp;"ned URL để upload bảo mật.
•	Trung tâm Thông báo (Notification Center):
o	Thông báo và lưu lịch sử thông báo.
o	Các sự kiện kích hoạt: Có bài tập mới, Giảng viên trả lời câu hỏi, Nhắc lịch học.
________________________________________
PHẦN 2: QUẢN LÝ NỘI "&amp;"DUNG &amp; TƯƠNG TÁC (LMS CORE)
3. Module Khóa học &amp; Tìm kiếm (Course &amp; Discovery)
•	Chức năng 
o	Tìm kiếm toàn cục theo từ khóa, danh mục, cấp độ.
o	Hiển thị danh sách khóa học Public và Chi tiết khóa học đầy đủ.
o	Kiểm tra trạng thái ghi danh để điều hướng "&amp;"người dùng.
o	Đánh giá khóa học: Cho phép học viên chấm điểm sao và viết review.
4. Module Trải nghiệm Học tập (Learning Experience)
•	Chức năng 
o	Learning Player: Trình phát bài học hỗ trợ Video/Text, danh sách Modules, Tài nguyên đính kèm.
o	Tracking: "&amp;"Ghi nhận tiến độ học tập đa cấp (Course -&gt; Module -&gt; Lesson).
o	Unlock Mechanism: Chỉ mở bài tiếp theo khi bài trước hoàn thành (Xem xong + Pass Quiz).
o	Thảo luận bài học (Lesson Comments): Hệ thống hỏi đáp ngay dưới mỗi bài học (Nested comments) để tăng"&amp;" tương tác Peer-to-Peer.
________________________________________
PHẦN 3: TRÍ TUỆ NHÂN TẠO CÁ NHÂN HÓA (AI ENGINE)
5. Module Đánh giá Năng lực Động (Dynamic Assessment)
•	Quy trình thực hiện:
1.	Sinh đề: AI (Gemini) tạo bộ câu hỏi theo chủ đề và độ khó th"&amp;"ay vì lấy từ kho tĩnh.
2.	Làm bài &amp; Chấm điểm: Tính điểm trọng số (Dễ 1đ, Khó 3đ).
3.	Phân tích: AI chỉ ra ""Lỗ hổng kiến thức"" (Knowledge Gaps) và kỹ năng mạnh/yếu.
6. Module Khóa học Cá nhân &amp; Gợi ý (Personalization)
•	Chức năng 
o	Text-to-Course: AI s"&amp;"inh toàn bộ cấu trúc khóa học từ 1 câu mô tả.
o	Editor: Công cụ cho phép học viên chỉnh sửa, thêm bớt nội dung khóa học AI vừa tạo.
o	Recommendation: Gợi ý lộ trình học và bài tập luyện tập dựa trên lỗi sai của học viên.
7. Module Chatbot Trợ giảng (Conte"&amp;"xtual AI Tutor)
•	Chức năng 
o	Hỏi đáp ngữ cảnh): Chatbot ""đọc"" nội dung bài học hiện tại để trả lời chính xác thắc mắc của học viên.
o	Quản lý lịch sử hội thoại (Lưu/Xóa).
________________________________________
PHẦN 4: KIỂM TRA, ĐÁNH GIÁ &amp; KHEN THƯỞN"&amp;"G (ASSESSMENT &amp; GAMIFICATION)
8. Module Quiz &amp; Bài tập (Advanced Quiz System)
•	Chức năng 
o	Hỗ trợ đa dạng câu hỏi: Trắc nghiệm, Điền khuyết, Kéo thả.
o	Logic Pass: Đạt &gt;=70% điểm VÀ đúng hết câu điểm liệt.
o	Retake: AI sinh lại câu hỏi tương tự nhưng kh"&amp;"ác chi tiết để tránh học vẹt.
o	Instructor Tools: Giảng viên tạo Quiz tùy chỉnh và xem phân tích phổ điểm của lớp.
9. Module Khen thưởng &amp; Chứng nhận.
o	Cấp Chứng chỉ: Tự động sinh file PDF khi hoàn thành khóa học. 
o	Huy hiệu: Trao huy hiệu cho các thành"&amp;" tích (VD: ""Chuỗi 7 ngày học liên tiếp"").
o	Bảng xếp hạng: Xếp hạng học viên theo điểm số hoặc thời gian học.
________________________________________
PHẦN 5: QUẢN LÝ ĐÀO TẠO &amp; LỚP HỌC (INSTRUCTOR ZONE)
10. Module Lớp học
•	Chức năng gốc:
o	Tạo lớp từ k"&amp;"hóa học gốc -&gt; Tự động sinh Mã mời.
o	Quản lý danh sách học viên (Xem chi tiết/Xóa).
o	Học viên tham gia lớp bằng mã mời.
11. Module Phân tích Lớp học (Class Analytics)
•	Chức năng gốc:
o	Theo dõi tiến độ tổng thể của cả lớp.
o	Biểu đồ hiệu suất Quiz: Câu"&amp;" hỏi nào học viên hay sai nhất? Phổ điểm của lớp ra sao?.
________________________________________
PHẦN 6: QUẢN TRỊ &amp; KINH DOANH (ADMIN &amp; BUSINESS)
12. Module Quản trị Hệ thống (System Admin)
•	Chức năng gốc:
o	User Management: CRUD, Khóa tài khoản, Reset"&amp;" mật khẩu, Đổi Role.
o	Course Management: Duyệt khóa học, Chỉnh sửa/Xóa khóa học hệ thống.
o	System Health: Giám sát tải server, lỗi API, dung lượng database.
13. Module Báo cáo &amp; Dashboard (Central Dashboard)
•	Chức năng gốc:
o	Student Dashboard: Nhắc vi"&amp;"ệc (Quiz deadline), Streak, Biểu đồ tiến độ.
o	Instructor Dashboard: Tổng quan số lớp, số học viên, hoạt động gần đây.
o	Admin Dashboard: Tăng trưởng user (Growth chart), Top khóa học phổ biến.
")</f>
        <v>NỘI DUNG THỰC HIỆN CHI TIẾT: AI LEARNING PLATFORM
PHẦN 1: HẠ TẦNG &amp; TIỆN ÍCH NỀN TẢNG (INFRASTRUCTURE &amp; UTILITIES)
1. Module Xác thực &amp; Định danh (Auth &amp; Identity)
•	Chức năng 
o	Đăng ký/Đăng nhập/Đăng xuất.
o	Quản lý hồ sơ cá nhân.
o	Xác thực 2 yếu tố (2FA): Bảo vệ tài khoản Instructor/Admin.
o	Social Login: Đăng nhập nhanh qua Google/Facebook
2. Module Tiện ích Hệ thống 
•	Dịch vụ Upload (Media Service):
o	Tích hợp AWS S3 hoặc MinIO để lưu trữ Avatar, Thumbnail khóa học, Video bài giảng.
o	Cơ chế Presigned URL để upload bảo mật.
•	Trung tâm Thông báo (Notification Center):
o	Thông báo và lưu lịch sử thông báo.
o	Các sự kiện kích hoạt: Có bài tập mới, Giảng viên trả lời câu hỏi, Nhắc lịch học.
________________________________________
PHẦN 2: QUẢN LÝ NỘI DUNG &amp; TƯƠNG TÁC (LMS CORE)
3. Module Khóa học &amp; Tìm kiếm (Course &amp; Discovery)
•	Chức năng 
o	Tìm kiếm toàn cục theo từ khóa, danh mục, cấp độ.
o	Hiển thị danh sách khóa học Public và Chi tiết khóa học đầy đủ.
o	Kiểm tra trạng thái ghi danh để điều hướng người dùng.
o	Đánh giá khóa học: Cho phép học viên chấm điểm sao và viết review.
4. Module Trải nghiệm Học tập (Learning Experience)
•	Chức năng 
o	Learning Player: Trình phát bài học hỗ trợ Video/Text, danh sách Modules, Tài nguyên đính kèm.
o	Tracking: Ghi nhận tiến độ học tập đa cấp (Course -&gt; Module -&gt; Lesson).
o	Unlock Mechanism: Chỉ mở bài tiếp theo khi bài trước hoàn thành (Xem xong + Pass Quiz).
o	Thảo luận bài học (Lesson Comments): Hệ thống hỏi đáp ngay dưới mỗi bài học (Nested comments) để tăng tương tác Peer-to-Peer.
________________________________________
PHẦN 3: TRÍ TUỆ NHÂN TẠO CÁ NHÂN HÓA (AI ENGINE)
5. Module Đánh giá Năng lực Động (Dynamic Assessment)
•	Quy trình thực hiện:
1.	Sinh đề: AI (Gemini) tạo bộ câu hỏi theo chủ đề và độ khó thay vì lấy từ kho tĩnh.
2.	Làm bài &amp; Chấm điểm: Tính điểm trọng số (Dễ 1đ, Khó 3đ).
3.	Phân tích: AI chỉ ra "Lỗ hổng kiến thức" (Knowledge Gaps) và kỹ năng mạnh/yếu.
6. Module Khóa học Cá nhân &amp; Gợi ý (Personalization)
•	Chức năng 
o	Text-to-Course: AI sinh toàn bộ cấu trúc khóa học từ 1 câu mô tả.
o	Editor: Công cụ cho phép học viên chỉnh sửa, thêm bớt nội dung khóa học AI vừa tạo.
o	Recommendation: Gợi ý lộ trình học và bài tập luyện tập dựa trên lỗi sai của học viên.
7. Module Chatbot Trợ giảng (Contextual AI Tutor)
•	Chức năng 
o	Hỏi đáp ngữ cảnh): Chatbot "đọc" nội dung bài học hiện tại để trả lời chính xác thắc mắc của học viên.
o	Quản lý lịch sử hội thoại (Lưu/Xóa).
________________________________________
PHẦN 4: KIỂM TRA, ĐÁNH GIÁ &amp; KHEN THƯỞNG (ASSESSMENT &amp; GAMIFICATION)
8. Module Quiz &amp; Bài tập (Advanced Quiz System)
•	Chức năng 
o	Hỗ trợ đa dạng câu hỏi: Trắc nghiệm, Điền khuyết, Kéo thả.
o	Logic Pass: Đạt &gt;=70% điểm VÀ đúng hết câu điểm liệt.
o	Retake: AI sinh lại câu hỏi tương tự nhưng khác chi tiết để tránh học vẹt.
o	Instructor Tools: Giảng viên tạo Quiz tùy chỉnh và xem phân tích phổ điểm của lớp.
9. Module Khen thưởng &amp; Chứng nhận.
o	Cấp Chứng chỉ: Tự động sinh file PDF khi hoàn thành khóa học. 
o	Huy hiệu: Trao huy hiệu cho các thành tích (VD: "Chuỗi 7 ngày học liên tiếp").
o	Bảng xếp hạng: Xếp hạng học viên theo điểm số hoặc thời gian học.
________________________________________
PHẦN 5: QUẢN LÝ ĐÀO TẠO &amp; LỚP HỌC (INSTRUCTOR ZONE)
10. Module Lớp học
•	Chức năng gốc:
o	Tạo lớp từ khóa học gốc -&gt; Tự động sinh Mã mời.
o	Quản lý danh sách học viên (Xem chi tiết/Xóa).
o	Học viên tham gia lớp bằng mã mời.
11. Module Phân tích Lớp học (Class Analytics)
•	Chức năng gốc:
o	Theo dõi tiến độ tổng thể của cả lớp.
o	Biểu đồ hiệu suất Quiz: Câu hỏi nào học viên hay sai nhất? Phổ điểm của lớp ra sao?.
________________________________________
PHẦN 6: QUẢN TRỊ &amp; KINH DOANH (ADMIN &amp; BUSINESS)
12. Module Quản trị Hệ thống (System Admin)
•	Chức năng gốc:
o	User Management: CRUD, Khóa tài khoản, Reset mật khẩu, Đổi Role.
o	Course Management: Duyệt khóa học, Chỉnh sửa/Xóa khóa học hệ thống.
o	System Health: Giám sát tải server, lỗi API, dung lượng database.
13. Module Báo cáo &amp; Dashboard (Central Dashboard)
•	Chức năng gốc:
o	Student Dashboard: Nhắc việc (Quiz deadline), Streak, Biểu đồ tiến độ.
o	Instructor Dashboard: Tổng quan số lớp, số học viên, hoạt động gần đây.
o	Admin Dashboard: Tăng trưởng user (Growth chart), Top khóa học phổ biến.
</v>
      </c>
      <c r="M190" s="9" t="str">
        <f>IFERROR(__xludf.DUMMYFUNCTION("""COMPUTED_VALUE"""),"Nhóm 2 người gồm 
Nguyễn Ngọc Tuấn Anh 22CT115 
Lương Đức Mạnh 22CT115")</f>
        <v>Nhóm 2 người gồm 
Nguyễn Ngọc Tuấn Anh 22CT115 
Lương Đức Mạnh 22CT115</v>
      </c>
      <c r="N190" s="9"/>
      <c r="O190" s="9"/>
      <c r="P190" s="9"/>
      <c r="Q190" s="9" t="str">
        <f>IFERROR(__xludf.DUMMYFUNCTION("""COMPUTED_VALUE"""),"TNDHLTK22_202610515")</f>
        <v>TNDHLTK22_202610515</v>
      </c>
    </row>
    <row r="191">
      <c r="A191" s="10">
        <f>IFERROR(__xludf.DUMMYFUNCTION("""COMPUTED_VALUE"""),46025.75122846065)</f>
        <v>46025.75123</v>
      </c>
      <c r="B191" s="9" t="str">
        <f>IFERROR(__xludf.DUMMYFUNCTION("""COMPUTED_VALUE"""),"huynhnghi4594@gmail.com")</f>
        <v>huynhnghi4594@gmail.com</v>
      </c>
      <c r="C191" s="9">
        <f>IFERROR(__xludf.DUMMYFUNCTION("""COMPUTED_VALUE"""),1.22000584E8)</f>
        <v>122000584</v>
      </c>
      <c r="D191" s="9" t="str">
        <f>IFERROR(__xludf.DUMMYFUNCTION("""COMPUTED_VALUE"""),"Huỳnh Ngọc Nghị ")</f>
        <v>Huỳnh Ngọc Nghị </v>
      </c>
      <c r="E191" s="9" t="str">
        <f>IFERROR(__xludf.DUMMYFUNCTION("""COMPUTED_VALUE"""),"0368442384")</f>
        <v>0368442384</v>
      </c>
      <c r="F191" s="9" t="str">
        <f>IFERROR(__xludf.DUMMYFUNCTION("""COMPUTED_VALUE"""),"22CT112")</f>
        <v>22CT112</v>
      </c>
      <c r="G191" s="9" t="str">
        <f>IFERROR(__xludf.DUMMYFUNCTION("""COMPUTED_VALUE"""),"Thực hiện đồ án tốt nghiệp")</f>
        <v>Thực hiện đồ án tốt nghiệp</v>
      </c>
      <c r="H191" s="9" t="str">
        <f>IFERROR(__xludf.DUMMYFUNCTION("""COMPUTED_VALUE"""),"Phan Thị Hường")</f>
        <v>Phan Thị Hường</v>
      </c>
      <c r="I191" s="9"/>
      <c r="J191" s="9" t="str">
        <f>IFERROR(__xludf.DUMMYFUNCTION("""COMPUTED_VALUE"""),"Agent tư vấn chế độ ăn uống cho bệnh nhân cường giáp")</f>
        <v>Agent tư vấn chế độ ăn uống cho bệnh nhân cường giáp</v>
      </c>
      <c r="K191" s="9" t="str">
        <f>IFERROR(__xludf.DUMMYFUNCTION("""COMPUTED_VALUE"""),"Xây dựng hệ thống giúp người mắc bệnh cường giáp quản lí chế độ ăn uống")</f>
        <v>Xây dựng hệ thống giúp người mắc bệnh cường giáp quản lí chế độ ăn uống</v>
      </c>
      <c r="L191" s="9" t="str">
        <f>IFERROR(__xludf.DUMMYFUNCTION("""COMPUTED_VALUE"""),"Sử dụng bộ Data có sẵn để tiến hành huấn luyện agent. Sau đó triển khai dưới dạng chatbot, cung cấp tư vấn an toàn, cá nhân hóa, hỗ trợ kiểm soát triệu chứng bệnh mà không thay thế bác sĩ chuyên khoa.")</f>
        <v>Sử dụng bộ Data có sẵn để tiến hành huấn luyện agent. Sau đó triển khai dưới dạng chatbot, cung cấp tư vấn an toàn, cá nhân hóa, hỗ trợ kiểm soát triệu chứng bệnh mà không thay thế bác sĩ chuyên khoa.</v>
      </c>
      <c r="M191" s="9" t="str">
        <f>IFERROR(__xludf.DUMMYFUNCTION("""COMPUTED_VALUE"""),"Thực hiện đề tài vời Nguyễn Đình Phát với MSSV: 122001280")</f>
        <v>Thực hiện đề tài vời Nguyễn Đình Phát với MSSV: 122001280</v>
      </c>
      <c r="N191" s="9"/>
      <c r="O191" s="9"/>
      <c r="P191" s="9"/>
      <c r="Q191" s="9" t="str">
        <f>IFERROR(__xludf.DUMMYFUNCTION("""COMPUTED_VALUE"""),"TNDHLTK22_202610515")</f>
        <v>TNDHLTK22_202610515</v>
      </c>
    </row>
    <row r="192">
      <c r="A192" s="10">
        <f>IFERROR(__xludf.DUMMYFUNCTION("""COMPUTED_VALUE"""),46025.768225810185)</f>
        <v>46025.76823</v>
      </c>
      <c r="B192" s="9" t="str">
        <f>IFERROR(__xludf.DUMMYFUNCTION("""COMPUTED_VALUE"""),"phuclee192@gmail.com")</f>
        <v>phuclee192@gmail.com</v>
      </c>
      <c r="C192" s="9">
        <f>IFERROR(__xludf.DUMMYFUNCTION("""COMPUTED_VALUE"""),1.2200097E8)</f>
        <v>122000970</v>
      </c>
      <c r="D192" s="9" t="str">
        <f>IFERROR(__xludf.DUMMYFUNCTION("""COMPUTED_VALUE"""),"Lê Huỳnh Phúc ")</f>
        <v>Lê Huỳnh Phúc </v>
      </c>
      <c r="E192" s="9" t="str">
        <f>IFERROR(__xludf.DUMMYFUNCTION("""COMPUTED_VALUE"""),"0966186920")</f>
        <v>0966186920</v>
      </c>
      <c r="F192" s="9" t="str">
        <f>IFERROR(__xludf.DUMMYFUNCTION("""COMPUTED_VALUE"""),"22CT111 ")</f>
        <v>22CT111 </v>
      </c>
      <c r="G192" s="9" t="str">
        <f>IFERROR(__xludf.DUMMYFUNCTION("""COMPUTED_VALUE"""),"Thực hiện đồ án tốt nghiệp")</f>
        <v>Thực hiện đồ án tốt nghiệp</v>
      </c>
      <c r="H192" s="9" t="str">
        <f>IFERROR(__xludf.DUMMYFUNCTION("""COMPUTED_VALUE"""),"Nguyễn Vũ Thiên Phúc")</f>
        <v>Nguyễn Vũ Thiên Phúc</v>
      </c>
      <c r="I192" s="9"/>
      <c r="J192" s="9" t="str">
        <f>IFERROR(__xludf.DUMMYFUNCTION("""COMPUTED_VALUE"""),"Mô phỏng mạng doanh nghiệp trên Cisco Packet Tracer")</f>
        <v>Mô phỏng mạng doanh nghiệp trên Cisco Packet Tracer</v>
      </c>
      <c r="K192" s="9" t="str">
        <f>IFERROR(__xludf.DUMMYFUNCTION("""COMPUTED_VALUE"""),"Đề tài “Mô phỏng mạng doanh nghiệp trên Cisco Packet Tracer” hướng đến việc giúp sinh viên hiểu rõ tầm quan trọng của hạ tầng mạng trong hoạt động doanh nghiệp. Mô hình mô phỏng cho phép áp dụng lý thuyết vào thực tế, từ thiết kế VLAN, định tuyến đến triể"&amp;"n khai dịch vụ cơ bản. Qua đó, sinh viên rèn luyện kỹ năng phân tích, xử lý sự cố và tối ưu mạng. Đây là nền tảng thiết yếu để chuẩn bị cho công việc trong ngành CNTT và viễn thông.")</f>
        <v>Đề tài “Mô phỏng mạng doanh nghiệp trên Cisco Packet Tracer” hướng đến việc giúp sinh viên hiểu rõ tầm quan trọng của hạ tầng mạng trong hoạt động doanh nghiệp. Mô hình mô phỏng cho phép áp dụng lý thuyết vào thực tế, từ thiết kế VLAN, định tuyến đến triển khai dịch vụ cơ bản. Qua đó, sinh viên rèn luyện kỹ năng phân tích, xử lý sự cố và tối ưu mạng. Đây là nền tảng thiết yếu để chuẩn bị cho công việc trong ngành CNTT và viễn thông.</v>
      </c>
      <c r="L192" s="9" t="str">
        <f>IFERROR(__xludf.DUMMYFUNCTION("""COMPUTED_VALUE"""),"- Thiết kế sơ đồ mạng doanh nghiệp: Xác định yêu cầu mạng doanh nghiệp, Vẽ sơ đồ logic mạng, Thiết kế sơ đồ vật lý trên Cisco Packet Tracer.
- Cấu hình và kiểm thử: Cấu hình địa chỉ IP cho các thiết bị, Tạo và cấu hình VLAN trên switch, Thêm dịch vụ cơ bả"&amp;"n, Kiểm thử kết nối.
- Hoàn thiện &amp; báo cáo: Tối ưu cấu hình, Viết báo cáo.")</f>
        <v>- Thiết kế sơ đồ mạng doanh nghiệp: Xác định yêu cầu mạng doanh nghiệp, Vẽ sơ đồ logic mạng, Thiết kế sơ đồ vật lý trên Cisco Packet Tracer.
- Cấu hình và kiểm thử: Cấu hình địa chỉ IP cho các thiết bị, Tạo và cấu hình VLAN trên switch, Thêm dịch vụ cơ bản, Kiểm thử kết nối.
- Hoàn thiện &amp; báo cáo: Tối ưu cấu hình, Viết báo cáo.</v>
      </c>
      <c r="M192" s="9"/>
      <c r="N192" s="9"/>
      <c r="O192" s="9"/>
      <c r="P192" s="9"/>
      <c r="Q192" s="9" t="str">
        <f>IFERROR(__xludf.DUMMYFUNCTION("""COMPUTED_VALUE"""),"TNDHLTK22_202610515")</f>
        <v>TNDHLTK22_202610515</v>
      </c>
    </row>
    <row r="193">
      <c r="A193" s="10">
        <f>IFERROR(__xludf.DUMMYFUNCTION("""COMPUTED_VALUE"""),46025.77111260417)</f>
        <v>46025.77111</v>
      </c>
      <c r="B193" s="9" t="str">
        <f>IFERROR(__xludf.DUMMYFUNCTION("""COMPUTED_VALUE"""),"iamchise2425@gmail.com")</f>
        <v>iamchise2425@gmail.com</v>
      </c>
      <c r="C193" s="9">
        <f>IFERROR(__xludf.DUMMYFUNCTION("""COMPUTED_VALUE"""),1.22001292E8)</f>
        <v>122001292</v>
      </c>
      <c r="D193" s="9" t="str">
        <f>IFERROR(__xludf.DUMMYFUNCTION("""COMPUTED_VALUE"""),"Nguyễn Ngọc Thuỷ Tiên")</f>
        <v>Nguyễn Ngọc Thuỷ Tiên</v>
      </c>
      <c r="E193" s="9" t="str">
        <f>IFERROR(__xludf.DUMMYFUNCTION("""COMPUTED_VALUE"""),"0356972425")</f>
        <v>0356972425</v>
      </c>
      <c r="F193" s="9" t="str">
        <f>IFERROR(__xludf.DUMMYFUNCTION("""COMPUTED_VALUE"""),"22EC111")</f>
        <v>22EC111</v>
      </c>
      <c r="G193" s="9" t="str">
        <f>IFERROR(__xludf.DUMMYFUNCTION("""COMPUTED_VALUE"""),"Thực hiện đồ án tốt nghiệp")</f>
        <v>Thực hiện đồ án tốt nghiệp</v>
      </c>
      <c r="H193" s="9" t="str">
        <f>IFERROR(__xludf.DUMMYFUNCTION("""COMPUTED_VALUE"""),"Hồ Ngọc Hoàng Long")</f>
        <v>Hồ Ngọc Hoàng Long</v>
      </c>
      <c r="I193" s="9"/>
      <c r="J193" s="9" t="str">
        <f>IFERROR(__xludf.DUMMYFUNCTION("""COMPUTED_VALUE"""),"Triển khai mô hình kinh doanh online cho cửa hàng dầu nhớt")</f>
        <v>Triển khai mô hình kinh doanh online cho cửa hàng dầu nhớt</v>
      </c>
      <c r="K193" s="9" t="str">
        <f>IFERROR(__xludf.DUMMYFUNCTION("""COMPUTED_VALUE"""),"Tối ưu hoạt động bán hàng dầu nhớt trên nền tảng số nhằm tăng doanh thu, mở rộng độ phủ thương hiệu và xây dựng nguồn khách hàng ổn định, bền vững")</f>
        <v>Tối ưu hoạt động bán hàng dầu nhớt trên nền tảng số nhằm tăng doanh thu, mở rộng độ phủ thương hiệu và xây dựng nguồn khách hàng ổn định, bền vững</v>
      </c>
      <c r="L193" s="9" t="str">
        <f>IFERROR(__xludf.DUMMYFUNCTION("""COMPUTED_VALUE"""),"Thiết lập kênh bán hàng online, chuẩn hoá thông tin sản phẩm,…")</f>
        <v>Thiết lập kênh bán hàng online, chuẩn hoá thông tin sản phẩm,…</v>
      </c>
      <c r="M193" s="9"/>
      <c r="N193" s="9"/>
      <c r="O193" s="9"/>
      <c r="P193" s="9"/>
      <c r="Q193" s="9" t="str">
        <f>IFERROR(__xludf.DUMMYFUNCTION("""COMPUTED_VALUE"""),"TNDHLTK22_202610515")</f>
        <v>TNDHLTK22_202610515</v>
      </c>
    </row>
    <row r="194">
      <c r="A194" s="10">
        <f>IFERROR(__xludf.DUMMYFUNCTION("""COMPUTED_VALUE"""),46025.780435520835)</f>
        <v>46025.78044</v>
      </c>
      <c r="B194" s="9" t="str">
        <f>IFERROR(__xludf.DUMMYFUNCTION("""COMPUTED_VALUE"""),"namnguyenvan030104@gmail.com")</f>
        <v>namnguyenvan030104@gmail.com</v>
      </c>
      <c r="C194" s="9">
        <f>IFERROR(__xludf.DUMMYFUNCTION("""COMPUTED_VALUE"""),1.22001117E8)</f>
        <v>122001117</v>
      </c>
      <c r="D194" s="9" t="str">
        <f>IFERROR(__xludf.DUMMYFUNCTION("""COMPUTED_VALUE"""),"Nguyễn Văn Nam")</f>
        <v>Nguyễn Văn Nam</v>
      </c>
      <c r="E194" s="9" t="str">
        <f>IFERROR(__xludf.DUMMYFUNCTION("""COMPUTED_VALUE"""),"0967443090")</f>
        <v>0967443090</v>
      </c>
      <c r="F194" s="9" t="str">
        <f>IFERROR(__xludf.DUMMYFUNCTION("""COMPUTED_VALUE"""),"22CT113")</f>
        <v>22CT113</v>
      </c>
      <c r="G194" s="9" t="str">
        <f>IFERROR(__xludf.DUMMYFUNCTION("""COMPUTED_VALUE"""),"Thực hiện đồ án tốt nghiệp")</f>
        <v>Thực hiện đồ án tốt nghiệp</v>
      </c>
      <c r="H194" s="9" t="str">
        <f>IFERROR(__xludf.DUMMYFUNCTION("""COMPUTED_VALUE"""),"Phan Thị Hường")</f>
        <v>Phan Thị Hường</v>
      </c>
      <c r="I194" s="9" t="str">
        <f>IFERROR(__xludf.DUMMYFUNCTION("""COMPUTED_VALUE"""),"Phan Thị Hường")</f>
        <v>Phan Thị Hường</v>
      </c>
      <c r="J194" s="9" t="str">
        <f>IFERROR(__xludf.DUMMYFUNCTION("""COMPUTED_VALUE"""),"Xây dựng kênh truyền thông số về giải pháp AI trên nền tảng TikTok")</f>
        <v>Xây dựng kênh truyền thông số về giải pháp AI trên nền tảng TikTok</v>
      </c>
      <c r="K194" s="9" t="str">
        <f>IFERROR(__xludf.DUMMYFUNCTION("""COMPUTED_VALUE"""),"1. Mục tiêu đề tài (Cập nhật yếu tố nhân hiệu)
​a. Mục tiêu khoa học
​Nghiên cứu vai trò của Thương hiệu cá nhân (Personal Branding) trong việc truyền tải các kiến thức công nghệ khô khan trở nên gần gũi trên TikTok.
​Phân tích sự tác động của ""người dẫn"&amp;" dắt"" (Host) đến tỷ lệ giữ chân người xem và xây dựng cộng đồng.
​b. Mục tiêu thực tiễn
​Xây dựng một hình mẫu ""AI Practitioner"" (Người thực hành AI): Một cá nhân có phong cách riêng, am hiểu và có khả năng hướng dẫn người khác dùng AI.
​Xây dựng bộ nh"&amp;"ận diện cá nhân: Bao gồm cách ăn mặc, bối cảnh quay, giọng nói và phong cách ngôn ngữ (tone of voice).
​Đạt được các chỉ số tương tác dựa trên sự tin tưởng của khán giả dành cho nhân vật.")</f>
        <v>1. Mục tiêu đề tài (Cập nhật yếu tố nhân hiệu)
​a. Mục tiêu khoa học
​Nghiên cứu vai trò của Thương hiệu cá nhân (Personal Branding) trong việc truyền tải các kiến thức công nghệ khô khan trở nên gần gũi trên TikTok.
​Phân tích sự tác động của "người dẫn dắt" (Host) đến tỷ lệ giữ chân người xem và xây dựng cộng đồng.
​b. Mục tiêu thực tiễn
​Xây dựng một hình mẫu "AI Practitioner" (Người thực hành AI): Một cá nhân có phong cách riêng, am hiểu và có khả năng hướng dẫn người khác dùng AI.
​Xây dựng bộ nhận diện cá nhân: Bao gồm cách ăn mặc, bối cảnh quay, giọng nói và phong cách ngôn ngữ (tone of voice).
​Đạt được các chỉ số tương tác dựa trên sự tin tưởng của khán giả dành cho nhân vật.</v>
      </c>
      <c r="L194" s="9" t="str">
        <f>IFERROR(__xludf.DUMMYFUNCTION("""COMPUTED_VALUE"""),"-Nghiên cứu cơ sở lý thuyết về trí tuệ nhân tạo, truyền thông số và vai trò của thương hiệu cá nhân trong truyền tải kiến thức công nghệ trên nền tảng TikTok.
-Khảo sát hành vi người xem và phân tích tác động của người dẫn dắt (Host) đến mức độ tiếp nhận,"&amp;" giữ chân và xây dựng niềm tin của khán giả.
-Đề xuất mô hình nội dung giáo dục số kết hợp giữa công cụ AI và hình mẫu “AI Practitioner” làm trung tâm truyền tải.
-Xây dựng bộ nhận diện cá nhân cho người dẫn dắt, bao gồm phong cách, bối cảnh và giọng điệu"&amp;" truyền thông.
-Ứng dụng các công cụ AI để hỗ trợ quá trình xây dựng và sản xuất nội dung.
-Triển khai kênh nội dung trên TikTok và theo dõi các chỉ số tương tác để đánh giá hiệu quả.
-Đánh giá kết quả đạt được và đề xuất hướng phát triển trong tương lai.")</f>
        <v>-Nghiên cứu cơ sở lý thuyết về trí tuệ nhân tạo, truyền thông số và vai trò của thương hiệu cá nhân trong truyền tải kiến thức công nghệ trên nền tảng TikTok.
-Khảo sát hành vi người xem và phân tích tác động của người dẫn dắt (Host) đến mức độ tiếp nhận, giữ chân và xây dựng niềm tin của khán giả.
-Đề xuất mô hình nội dung giáo dục số kết hợp giữa công cụ AI và hình mẫu “AI Practitioner” làm trung tâm truyền tải.
-Xây dựng bộ nhận diện cá nhân cho người dẫn dắt, bao gồm phong cách, bối cảnh và giọng điệu truyền thông.
-Ứng dụng các công cụ AI để hỗ trợ quá trình xây dựng và sản xuất nội dung.
-Triển khai kênh nội dung trên TikTok và theo dõi các chỉ số tương tác để đánh giá hiệu quả.
-Đánh giá kết quả đạt được và đề xuất hướng phát triển trong tương lai.</v>
      </c>
      <c r="M194" s="9"/>
      <c r="N194" s="9"/>
      <c r="O194" s="9"/>
      <c r="P194" s="9"/>
      <c r="Q194" s="9" t="str">
        <f>IFERROR(__xludf.DUMMYFUNCTION("""COMPUTED_VALUE"""),"TNDHLTK22_202610515")</f>
        <v>TNDHLTK22_202610515</v>
      </c>
    </row>
    <row r="195">
      <c r="A195" s="10">
        <f>IFERROR(__xludf.DUMMYFUNCTION("""COMPUTED_VALUE"""),46025.79820450232)</f>
        <v>46025.7982</v>
      </c>
      <c r="B195" s="9" t="str">
        <f>IFERROR(__xludf.DUMMYFUNCTION("""COMPUTED_VALUE"""),"vhau142004@gmail.com")</f>
        <v>vhau142004@gmail.com</v>
      </c>
      <c r="C195" s="9">
        <f>IFERROR(__xludf.DUMMYFUNCTION("""COMPUTED_VALUE"""),1.22000426E8)</f>
        <v>122000426</v>
      </c>
      <c r="D195" s="9" t="str">
        <f>IFERROR(__xludf.DUMMYFUNCTION("""COMPUTED_VALUE"""),"nguyễn văn hậu")</f>
        <v>nguyễn văn hậu</v>
      </c>
      <c r="E195" s="9" t="str">
        <f>IFERROR(__xludf.DUMMYFUNCTION("""COMPUTED_VALUE"""),"0379188976")</f>
        <v>0379188976</v>
      </c>
      <c r="F195" s="9" t="str">
        <f>IFERROR(__xludf.DUMMYFUNCTION("""COMPUTED_VALUE"""),"22CT113")</f>
        <v>22CT113</v>
      </c>
      <c r="G195" s="9" t="str">
        <f>IFERROR(__xludf.DUMMYFUNCTION("""COMPUTED_VALUE"""),"Thực hiện đồ án tốt nghiệp")</f>
        <v>Thực hiện đồ án tốt nghiệp</v>
      </c>
      <c r="H195" s="9" t="str">
        <f>IFERROR(__xludf.DUMMYFUNCTION("""COMPUTED_VALUE"""),"Phan Thiện Phước")</f>
        <v>Phan Thiện Phước</v>
      </c>
      <c r="I195" s="9"/>
      <c r="J195" s="9" t="str">
        <f>IFERROR(__xludf.DUMMYFUNCTION("""COMPUTED_VALUE"""),"hệ thống tưới tiêu thông minh")</f>
        <v>hệ thống tưới tiêu thông minh</v>
      </c>
      <c r="K195" s="9" t="str">
        <f>IFERROR(__xludf.DUMMYFUNCTION("""COMPUTED_VALUE"""),"thu thập dữ diệu từ vườn cây sầu riêng")</f>
        <v>thu thập dữ diệu từ vườn cây sầu riêng</v>
      </c>
      <c r="L195" s="9" t="str">
        <f>IFERROR(__xludf.DUMMYFUNCTION("""COMPUTED_VALUE"""),"khảo sát , đánh giá , đề xuất phương án thi công phù hợp")</f>
        <v>khảo sát , đánh giá , đề xuất phương án thi công phù hợp</v>
      </c>
      <c r="M195" s="9"/>
      <c r="N195" s="9"/>
      <c r="O195" s="9"/>
      <c r="P195" s="9"/>
      <c r="Q195" s="9" t="str">
        <f>IFERROR(__xludf.DUMMYFUNCTION("""COMPUTED_VALUE"""),"TNDHLTK22_202610515")</f>
        <v>TNDHLTK22_202610515</v>
      </c>
    </row>
    <row r="196">
      <c r="A196" s="10">
        <f>IFERROR(__xludf.DUMMYFUNCTION("""COMPUTED_VALUE"""),46025.81582471065)</f>
        <v>46025.81582</v>
      </c>
      <c r="B196" s="9" t="str">
        <f>IFERROR(__xludf.DUMMYFUNCTION("""COMPUTED_VALUE"""),"nguyendanggiangtruong@gmail.com")</f>
        <v>nguyendanggiangtruong@gmail.com</v>
      </c>
      <c r="C196" s="9">
        <f>IFERROR(__xludf.DUMMYFUNCTION("""COMPUTED_VALUE"""),1.22000749E8)</f>
        <v>122000749</v>
      </c>
      <c r="D196" s="9" t="str">
        <f>IFERROR(__xludf.DUMMYFUNCTION("""COMPUTED_VALUE"""),"Nguyễn Đặng Giang Trường")</f>
        <v>Nguyễn Đặng Giang Trường</v>
      </c>
      <c r="E196" s="9" t="str">
        <f>IFERROR(__xludf.DUMMYFUNCTION("""COMPUTED_VALUE"""),"0327986472")</f>
        <v>0327986472</v>
      </c>
      <c r="F196" s="9" t="str">
        <f>IFERROR(__xludf.DUMMYFUNCTION("""COMPUTED_VALUE"""),"22CT113")</f>
        <v>22CT113</v>
      </c>
      <c r="G196" s="9" t="str">
        <f>IFERROR(__xludf.DUMMYFUNCTION("""COMPUTED_VALUE"""),"Thực hiện đồ án tốt nghiệp")</f>
        <v>Thực hiện đồ án tốt nghiệp</v>
      </c>
      <c r="H196" s="9" t="str">
        <f>IFERROR(__xludf.DUMMYFUNCTION("""COMPUTED_VALUE"""),"Nguyễn Minh Sơn")</f>
        <v>Nguyễn Minh Sơn</v>
      </c>
      <c r="I196" s="9"/>
      <c r="J196" s="9" t="str">
        <f>IFERROR(__xludf.DUMMYFUNCTION("""COMPUTED_VALUE"""),"Hệ thống gợi ý nội thất cho nhà ở tích hợp AI")</f>
        <v>Hệ thống gợi ý nội thất cho nhà ở tích hợp AI</v>
      </c>
      <c r="K196" s="9" t="str">
        <f>IFERROR(__xludf.DUMMYFUNCTION("""COMPUTED_VALUE"""),"Tự động hóa tư vấn thiết kế: Thay thế một phần vai trò của chuyên viên tư vấn nội thất, giúp người dùng phổ thông có thể tự làm đẹp không gian sống với chi phí thấp.")</f>
        <v>Tự động hóa tư vấn thiết kế: Thay thế một phần vai trò của chuyên viên tư vấn nội thất, giúp người dùng phổ thông có thể tự làm đẹp không gian sống với chi phí thấp.</v>
      </c>
      <c r="L196" s="9" t="str">
        <f>IFERROR(__xludf.DUMMYFUNCTION("""COMPUTED_VALUE"""),"Nhận diện thông minh: Xây dựng module AI có khả năng phân tích hình ảnh thực tế từ camera để nhận diện phong cách, màu sắc và các vật dụng hiện có")</f>
        <v>Nhận diện thông minh: Xây dựng module AI có khả năng phân tích hình ảnh thực tế từ camera để nhận diện phong cách, màu sắc và các vật dụng hiện có</v>
      </c>
      <c r="M196" s="9"/>
      <c r="N196" s="9"/>
      <c r="O196" s="9"/>
      <c r="P196" s="9"/>
      <c r="Q196" s="9" t="str">
        <f>IFERROR(__xludf.DUMMYFUNCTION("""COMPUTED_VALUE"""),"TNDHLTK22_202610515")</f>
        <v>TNDHLTK22_202610515</v>
      </c>
    </row>
    <row r="197">
      <c r="A197" s="10">
        <f>IFERROR(__xludf.DUMMYFUNCTION("""COMPUTED_VALUE"""),46025.826000057874)</f>
        <v>46025.826</v>
      </c>
      <c r="B197" s="9" t="str">
        <f>IFERROR(__xludf.DUMMYFUNCTION("""COMPUTED_VALUE"""),"tnhoangchuong@gmail.com")</f>
        <v>tnhoangchuong@gmail.com</v>
      </c>
      <c r="C197" s="9">
        <f>IFERROR(__xludf.DUMMYFUNCTION("""COMPUTED_VALUE"""),1.22000227E8)</f>
        <v>122000227</v>
      </c>
      <c r="D197" s="9" t="str">
        <f>IFERROR(__xludf.DUMMYFUNCTION("""COMPUTED_VALUE"""),"Tạ Ngọc Chương")</f>
        <v>Tạ Ngọc Chương</v>
      </c>
      <c r="E197" s="9" t="str">
        <f>IFERROR(__xludf.DUMMYFUNCTION("""COMPUTED_VALUE"""),"0393972494")</f>
        <v>0393972494</v>
      </c>
      <c r="F197" s="9" t="str">
        <f>IFERROR(__xludf.DUMMYFUNCTION("""COMPUTED_VALUE"""),"22CT113")</f>
        <v>22CT113</v>
      </c>
      <c r="G197" s="9" t="str">
        <f>IFERROR(__xludf.DUMMYFUNCTION("""COMPUTED_VALUE"""),"Thực hiện đồ án tốt nghiệp")</f>
        <v>Thực hiện đồ án tốt nghiệp</v>
      </c>
      <c r="H197" s="9" t="str">
        <f>IFERROR(__xludf.DUMMYFUNCTION("""COMPUTED_VALUE"""),"Phan Thiện Phước")</f>
        <v>Phan Thiện Phước</v>
      </c>
      <c r="I197" s="9"/>
      <c r="J197" s="9" t="str">
        <f>IFERROR(__xludf.DUMMYFUNCTION("""COMPUTED_VALUE"""),"hệ thống tưới tiêu thông minh")</f>
        <v>hệ thống tưới tiêu thông minh</v>
      </c>
      <c r="K197" s="9" t="str">
        <f>IFERROR(__xludf.DUMMYFUNCTION("""COMPUTED_VALUE"""),"thu thập dữ liệu từ vườn cây sầu riêng")</f>
        <v>thu thập dữ liệu từ vườn cây sầu riêng</v>
      </c>
      <c r="L197" s="9" t="str">
        <f>IFERROR(__xludf.DUMMYFUNCTION("""COMPUTED_VALUE"""),"khảo sát , đánh giá , đề xuất phương án thi công phù hợp")</f>
        <v>khảo sát , đánh giá , đề xuất phương án thi công phù hợp</v>
      </c>
      <c r="M197" s="9"/>
      <c r="N197" s="9"/>
      <c r="O197" s="9"/>
      <c r="P197" s="9"/>
      <c r="Q197" s="9" t="str">
        <f>IFERROR(__xludf.DUMMYFUNCTION("""COMPUTED_VALUE"""),"TNDHLTK22_202610515")</f>
        <v>TNDHLTK22_202610515</v>
      </c>
    </row>
    <row r="198">
      <c r="A198" s="10">
        <f>IFERROR(__xludf.DUMMYFUNCTION("""COMPUTED_VALUE"""),46025.83295509259)</f>
        <v>46025.83296</v>
      </c>
      <c r="B198" s="9" t="str">
        <f>IFERROR(__xludf.DUMMYFUNCTION("""COMPUTED_VALUE"""),"quangthien240604@gmail.com")</f>
        <v>quangthien240604@gmail.com</v>
      </c>
      <c r="C198" s="9">
        <f>IFERROR(__xludf.DUMMYFUNCTION("""COMPUTED_VALUE"""),1.22000186E8)</f>
        <v>122000186</v>
      </c>
      <c r="D198" s="9" t="str">
        <f>IFERROR(__xludf.DUMMYFUNCTION("""COMPUTED_VALUE"""),"Vũ Nguyễn Quang Thiện")</f>
        <v>Vũ Nguyễn Quang Thiện</v>
      </c>
      <c r="E198" s="9" t="str">
        <f>IFERROR(__xludf.DUMMYFUNCTION("""COMPUTED_VALUE"""),"0983821884")</f>
        <v>0983821884</v>
      </c>
      <c r="F198" s="9" t="str">
        <f>IFERROR(__xludf.DUMMYFUNCTION("""COMPUTED_VALUE"""),"22CT113")</f>
        <v>22CT113</v>
      </c>
      <c r="G198" s="9" t="str">
        <f>IFERROR(__xludf.DUMMYFUNCTION("""COMPUTED_VALUE"""),"Thực hiện đồ án tốt nghiệp")</f>
        <v>Thực hiện đồ án tốt nghiệp</v>
      </c>
      <c r="H198" s="9" t="str">
        <f>IFERROR(__xludf.DUMMYFUNCTION("""COMPUTED_VALUE"""),"Phan Mạnh Thường")</f>
        <v>Phan Mạnh Thường</v>
      </c>
      <c r="I198" s="9"/>
      <c r="J198" s="9" t="str">
        <f>IFERROR(__xludf.DUMMYFUNCTION("""COMPUTED_VALUE"""),"Nhận diện sâu hại trên lá câu trồng")</f>
        <v>Nhận diện sâu hại trên lá câu trồng</v>
      </c>
      <c r="K198" s="9"/>
      <c r="L198" s="9"/>
      <c r="M198" s="9"/>
      <c r="N198" s="9"/>
      <c r="O198" s="9"/>
      <c r="P198" s="9"/>
      <c r="Q198" s="9" t="str">
        <f>IFERROR(__xludf.DUMMYFUNCTION("""COMPUTED_VALUE"""),"TNDHLTK22_202610515")</f>
        <v>TNDHLTK22_202610515</v>
      </c>
    </row>
    <row r="199">
      <c r="A199" s="10">
        <f>IFERROR(__xludf.DUMMYFUNCTION("""COMPUTED_VALUE"""),46025.83443290509)</f>
        <v>46025.83443</v>
      </c>
      <c r="B199" s="9" t="str">
        <f>IFERROR(__xludf.DUMMYFUNCTION("""COMPUTED_VALUE"""),"vuhoang.240804@gmail.com")</f>
        <v>vuhoang.240804@gmail.com</v>
      </c>
      <c r="C199" s="9">
        <f>IFERROR(__xludf.DUMMYFUNCTION("""COMPUTED_VALUE"""),1.22001333E8)</f>
        <v>122001333</v>
      </c>
      <c r="D199" s="9" t="str">
        <f>IFERROR(__xludf.DUMMYFUNCTION("""COMPUTED_VALUE"""),"Vũ Hoàng")</f>
        <v>Vũ Hoàng</v>
      </c>
      <c r="E199" s="9" t="str">
        <f>IFERROR(__xludf.DUMMYFUNCTION("""COMPUTED_VALUE"""),"0764132019")</f>
        <v>0764132019</v>
      </c>
      <c r="F199" s="9" t="str">
        <f>IFERROR(__xludf.DUMMYFUNCTION("""COMPUTED_VALUE"""),"22CT114")</f>
        <v>22CT114</v>
      </c>
      <c r="G199" s="9" t="str">
        <f>IFERROR(__xludf.DUMMYFUNCTION("""COMPUTED_VALUE"""),"Thực hiện đồ án tốt nghiệp")</f>
        <v>Thực hiện đồ án tốt nghiệp</v>
      </c>
      <c r="H199" s="9" t="str">
        <f>IFERROR(__xludf.DUMMYFUNCTION("""COMPUTED_VALUE"""),"Bùi Xuân Cảnh")</f>
        <v>Bùi Xuân Cảnh</v>
      </c>
      <c r="I199" s="9"/>
      <c r="J199" s="9" t="str">
        <f>IFERROR(__xludf.DUMMYFUNCTION("""COMPUTED_VALUE"""),"Ứng dụng chia sẻ kinh nghiệm du lịch")</f>
        <v>Ứng dụng chia sẻ kinh nghiệm du lịch</v>
      </c>
      <c r="K199" s="9" t="str">
        <f>IFERROR(__xludf.DUMMYFUNCTION("""COMPUTED_VALUE"""),"•	Xây dựng một ứng dụng di động cho phép người dùng chia sẻ kinh nghiệm và đánh giá các địa điểm du lịch.
•	Tạo môi trường tương tác giữa người đi du lịch, người bán dịch vụ và cộng đồng du lịch.
•	Ứng dụng công nghệ bản đồ (Google Maps API) để hỗ trợ hiể"&amp;"n thị vị trí và chỉ đường.
•	Tích hợp ChatGPT giúp gợi ý lịch trình, địa điểm tham quan và mẹo tiết kiệm chi phí.")</f>
        <v>•	Xây dựng một ứng dụng di động cho phép người dùng chia sẻ kinh nghiệm và đánh giá các địa điểm du lịch.
•	Tạo môi trường tương tác giữa người đi du lịch, người bán dịch vụ và cộng đồng du lịch.
•	Ứng dụng công nghệ bản đồ (Google Maps API) để hỗ trợ hiển thị vị trí và chỉ đường.
•	Tích hợp ChatGPT giúp gợi ý lịch trình, địa điểm tham quan và mẹo tiết kiệm chi phí.</v>
      </c>
      <c r="L199" s="9" t="str">
        <f>IFERROR(__xludf.DUMMYFUNCTION("""COMPUTED_VALUE"""),"	
Khảo sát và thu thập yêu cầu người dùng, xác định chức năng chính của ứng dụng
Thiết kế giao diện người dùng (UI/UX) và sơ đồ chức năng hệ thống
Thiết kế cơ sở dữ liệu và mô hình quan hệ MongoDB
Lập trình các chức năng chính: đăng ký/đăng nhập, chia s"&amp;"ẻ bài viết, đánh giá địa điểm
Tích hợp Google Maps API và ChatGPT hỗ trợ gợi ý du lịch
Xây dựng chức năng mua bán sản phẩm du lịch (đa shop)
")</f>
        <v>	
Khảo sát và thu thập yêu cầu người dùng, xác định chức năng chính của ứng dụng
Thiết kế giao diện người dùng (UI/UX) và sơ đồ chức năng hệ thống
Thiết kế cơ sở dữ liệu và mô hình quan hệ MongoDB
Lập trình các chức năng chính: đăng ký/đăng nhập, chia sẻ bài viết, đánh giá địa điểm
Tích hợp Google Maps API và ChatGPT hỗ trợ gợi ý du lịch
Xây dựng chức năng mua bán sản phẩm du lịch (đa shop)
</v>
      </c>
      <c r="M199" s="9"/>
      <c r="N199" s="9"/>
      <c r="O199" s="9"/>
      <c r="P199" s="9"/>
      <c r="Q199" s="9" t="str">
        <f>IFERROR(__xludf.DUMMYFUNCTION("""COMPUTED_VALUE"""),"TNDHLTK22_202610515")</f>
        <v>TNDHLTK22_202610515</v>
      </c>
    </row>
    <row r="200">
      <c r="A200" s="10">
        <f>IFERROR(__xludf.DUMMYFUNCTION("""COMPUTED_VALUE"""),46025.83651847222)</f>
        <v>46025.83652</v>
      </c>
      <c r="B200" s="9" t="str">
        <f>IFERROR(__xludf.DUMMYFUNCTION("""COMPUTED_VALUE"""),"vongochoa07@gmail.com")</f>
        <v>vongochoa07@gmail.com</v>
      </c>
      <c r="C200" s="9">
        <f>IFERROR(__xludf.DUMMYFUNCTION("""COMPUTED_VALUE"""),1.22001039E8)</f>
        <v>122001039</v>
      </c>
      <c r="D200" s="9" t="str">
        <f>IFERROR(__xludf.DUMMYFUNCTION("""COMPUTED_VALUE"""),"Võ Ngọc Hoà")</f>
        <v>Võ Ngọc Hoà</v>
      </c>
      <c r="E200" s="9" t="str">
        <f>IFERROR(__xludf.DUMMYFUNCTION("""COMPUTED_VALUE"""),"0989007757")</f>
        <v>0989007757</v>
      </c>
      <c r="F200" s="9" t="str">
        <f>IFERROR(__xludf.DUMMYFUNCTION("""COMPUTED_VALUE"""),"22CT113")</f>
        <v>22CT113</v>
      </c>
      <c r="G200" s="9" t="str">
        <f>IFERROR(__xludf.DUMMYFUNCTION("""COMPUTED_VALUE"""),"Thực hiện đồ án tốt nghiệp")</f>
        <v>Thực hiện đồ án tốt nghiệp</v>
      </c>
      <c r="H200" s="9" t="str">
        <f>IFERROR(__xludf.DUMMYFUNCTION("""COMPUTED_VALUE"""),"Phan Mạnh Thường")</f>
        <v>Phan Mạnh Thường</v>
      </c>
      <c r="I200" s="9"/>
      <c r="J200" s="9" t="str">
        <f>IFERROR(__xludf.DUMMYFUNCTION("""COMPUTED_VALUE"""),"Nhận diện sâu hại trên lá câu trồng")</f>
        <v>Nhận diện sâu hại trên lá câu trồng</v>
      </c>
      <c r="K200" s="9" t="str">
        <f>IFERROR(__xludf.DUMMYFUNCTION("""COMPUTED_VALUE"""),"Xây dựng một website thương mại điện tử bán linh kiện xe hơi hoạt động ổn định, giao diện thân thiện, cho phép khách hàng dễ dàng tìm kiếm – đặt mua linh kiện phù hợp với từng dòng xe; đồng thời hỗ trợ quản trị viên quản lý sản phẩm, đơn hàng và khách hàn"&amp;"g một cách hiệu quả.")</f>
        <v>Xây dựng một website thương mại điện tử bán linh kiện xe hơi hoạt động ổn định, giao diện thân thiện, cho phép khách hàng dễ dàng tìm kiếm – đặt mua linh kiện phù hợp với từng dòng xe; đồng thời hỗ trợ quản trị viên quản lý sản phẩm, đơn hàng và khách hàng một cách hiệu quả.</v>
      </c>
      <c r="L200" s="9" t="str">
        <f>IFERROR(__xludf.DUMMYFUNCTION("""COMPUTED_VALUE"""),"Khảo sát nhu cầu và phân tích yêu cầu của hệ thống website bán linh kiện xe hơi.
Phân tích chức năng và thiết kế hệ thống (Use Case, sơ đồ chức năng, cơ sở dữ liệu).
Thiết kế giao diện website thân thiện, dễ sử dụng cho người dùng.
Xây dựng website với"&amp;" các chức năng chính:
Quản lý người dùng
Quản lý sản phẩm linh kiện
Tìm kiếm, lọc sản phẩm
Giỏ hàng và đặt hàng
Quản lý đơn hàng (Admin)
Kết nối cơ sở dữ liệu và đảm bảo hoạt động ổn định của hệ thống.
Kiểm thử, đánh giá kết quả và đề xuất hướng ph"&amp;"át triển trong tương lai.")</f>
        <v>Khảo sát nhu cầu và phân tích yêu cầu của hệ thống website bán linh kiện xe hơi.
Phân tích chức năng và thiết kế hệ thống (Use Case, sơ đồ chức năng, cơ sở dữ liệu).
Thiết kế giao diện website thân thiện, dễ sử dụng cho người dùng.
Xây dựng website với các chức năng chính:
Quản lý người dùng
Quản lý sản phẩm linh kiện
Tìm kiếm, lọc sản phẩm
Giỏ hàng và đặt hàng
Quản lý đơn hàng (Admin)
Kết nối cơ sở dữ liệu và đảm bảo hoạt động ổn định của hệ thống.
Kiểm thử, đánh giá kết quả và đề xuất hướng phát triển trong tương lai.</v>
      </c>
      <c r="M200" s="9"/>
      <c r="N200" s="9"/>
      <c r="O200" s="9"/>
      <c r="P200" s="9"/>
      <c r="Q200" s="9" t="str">
        <f>IFERROR(__xludf.DUMMYFUNCTION("""COMPUTED_VALUE"""),"TNDHLTK22_202610515")</f>
        <v>TNDHLTK22_202610515</v>
      </c>
    </row>
    <row r="201">
      <c r="A201" s="10">
        <f>IFERROR(__xludf.DUMMYFUNCTION("""COMPUTED_VALUE"""),46025.8387350463)</f>
        <v>46025.83874</v>
      </c>
      <c r="B201" s="9" t="str">
        <f>IFERROR(__xludf.DUMMYFUNCTION("""COMPUTED_VALUE"""),"dohanh.8537@gmail.com")</f>
        <v>dohanh.8537@gmail.com</v>
      </c>
      <c r="C201" s="9">
        <f>IFERROR(__xludf.DUMMYFUNCTION("""COMPUTED_VALUE"""),1.22001179E8)</f>
        <v>122001179</v>
      </c>
      <c r="D201" s="9" t="str">
        <f>IFERROR(__xludf.DUMMYFUNCTION("""COMPUTED_VALUE"""),"Đỗ Xuân Hạnh")</f>
        <v>Đỗ Xuân Hạnh</v>
      </c>
      <c r="E201" s="9" t="str">
        <f>IFERROR(__xludf.DUMMYFUNCTION("""COMPUTED_VALUE"""),"0898685947")</f>
        <v>0898685947</v>
      </c>
      <c r="F201" s="9" t="str">
        <f>IFERROR(__xludf.DUMMYFUNCTION("""COMPUTED_VALUE"""),"22CT113")</f>
        <v>22CT113</v>
      </c>
      <c r="G201" s="9" t="str">
        <f>IFERROR(__xludf.DUMMYFUNCTION("""COMPUTED_VALUE"""),"Thực hiện đồ án tốt nghiệp")</f>
        <v>Thực hiện đồ án tốt nghiệp</v>
      </c>
      <c r="H201" s="9" t="str">
        <f>IFERROR(__xludf.DUMMYFUNCTION("""COMPUTED_VALUE"""),"Bùi Thị Thu Trang")</f>
        <v>Bùi Thị Thu Trang</v>
      </c>
      <c r="I201" s="9"/>
      <c r="J201" s="9" t="str">
        <f>IFERROR(__xludf.DUMMYFUNCTION("""COMPUTED_VALUE"""),"Phát hiện lỗi bề mặt bằng mạng cnn( ốc vít)")</f>
        <v>Phát hiện lỗi bề mặt bằng mạng cnn( ốc vít)</v>
      </c>
      <c r="K201" s="9" t="str">
        <f>IFERROR(__xludf.DUMMYFUNCTION("""COMPUTED_VALUE"""),"Nhận diện lỗi bề mặt ốc vít trong công nghiệp nhà máy ")</f>
        <v>Nhận diện lỗi bề mặt ốc vít trong công nghiệp nhà máy </v>
      </c>
      <c r="L201" s="9" t="str">
        <f>IFERROR(__xludf.DUMMYFUNCTION("""COMPUTED_VALUE"""),"Sử dụng yolo để nhận diện ")</f>
        <v>Sử dụng yolo để nhận diện </v>
      </c>
      <c r="M201" s="9"/>
      <c r="N201" s="9"/>
      <c r="O201" s="9"/>
      <c r="P201" s="9"/>
      <c r="Q201" s="9" t="str">
        <f>IFERROR(__xludf.DUMMYFUNCTION("""COMPUTED_VALUE"""),"TNDHLTK22_202610515")</f>
        <v>TNDHLTK22_202610515</v>
      </c>
    </row>
    <row r="202">
      <c r="A202" s="10">
        <f>IFERROR(__xludf.DUMMYFUNCTION("""COMPUTED_VALUE"""),46025.85189820602)</f>
        <v>46025.8519</v>
      </c>
      <c r="B202" s="9" t="str">
        <f>IFERROR(__xludf.DUMMYFUNCTION("""COMPUTED_VALUE"""),"trinhhuynhthuakhang0410@gmail.com")</f>
        <v>trinhhuynhthuakhang0410@gmail.com</v>
      </c>
      <c r="C202" s="9">
        <f>IFERROR(__xludf.DUMMYFUNCTION("""COMPUTED_VALUE"""),1.22000829E8)</f>
        <v>122000829</v>
      </c>
      <c r="D202" s="9" t="str">
        <f>IFERROR(__xludf.DUMMYFUNCTION("""COMPUTED_VALUE"""),"Trịnh huỳnh thừa khang")</f>
        <v>Trịnh huỳnh thừa khang</v>
      </c>
      <c r="E202" s="9" t="str">
        <f>IFERROR(__xludf.DUMMYFUNCTION("""COMPUTED_VALUE"""),"0339508749")</f>
        <v>0339508749</v>
      </c>
      <c r="F202" s="9" t="str">
        <f>IFERROR(__xludf.DUMMYFUNCTION("""COMPUTED_VALUE"""),"22ct114")</f>
        <v>22ct114</v>
      </c>
      <c r="G202" s="9" t="str">
        <f>IFERROR(__xludf.DUMMYFUNCTION("""COMPUTED_VALUE"""),"Thực hiện đồ án tốt nghiệp")</f>
        <v>Thực hiện đồ án tốt nghiệp</v>
      </c>
      <c r="H202" s="9" t="str">
        <f>IFERROR(__xludf.DUMMYFUNCTION("""COMPUTED_VALUE"""),"Bùi Xuân Cảnh")</f>
        <v>Bùi Xuân Cảnh</v>
      </c>
      <c r="I202" s="9"/>
      <c r="J202" s="9" t="str">
        <f>IFERROR(__xludf.DUMMYFUNCTION("""COMPUTED_VALUE"""),"Ứng dụng kết nối người bán hàng nhỏ lẻ")</f>
        <v>Ứng dụng kết nối người bán hàng nhỏ lẻ</v>
      </c>
      <c r="K202" s="9" t="str">
        <f>IFERROR(__xludf.DUMMYFUNCTION("""COMPUTED_VALUE"""),"Mục tiêu ứng dụng (Objectives)
Xây dựng cộng đồng: Tạo mạng lưới hỗ trợ lẫn nhau giữa các người bán nhỏ lẻ thay vì cạnh tranh đơn lẻ.
Tối ưu chi phí: Chia sẻ nguồn hàng, kho bãi, và chi phí vận chuyển để tăng lợi nhuận.
Số hóa kinh doanh: Cung cấp công "&amp;"cụ quản lý đơn giản để người bán truyền thống tiếp cận công nghệ.
Tăng khả năng tiếp cận khách hàng: Hợp lực để thực hiện các chiến dịch marketing chung hoặc bán chéo (cross-selling) sản phẩm.")</f>
        <v>Mục tiêu ứng dụng (Objectives)
Xây dựng cộng đồng: Tạo mạng lưới hỗ trợ lẫn nhau giữa các người bán nhỏ lẻ thay vì cạnh tranh đơn lẻ.
Tối ưu chi phí: Chia sẻ nguồn hàng, kho bãi, và chi phí vận chuyển để tăng lợi nhuận.
Số hóa kinh doanh: Cung cấp công cụ quản lý đơn giản để người bán truyền thống tiếp cận công nghệ.
Tăng khả năng tiếp cận khách hàng: Hợp lực để thực hiện các chiến dịch marketing chung hoặc bán chéo (cross-selling) sản phẩm.</v>
      </c>
      <c r="L202" s="9" t="str">
        <f>IFERROR(__xludf.DUMMYFUNCTION("""COMPUTED_VALUE"""),"2. Nội dung thực hiện chính (Key Features)
A. Kết nối &amp; Nhập hàng
Gom đơn hàng sỉ: Nhiều người bán cùng đặt một mặt hàng để có giá sỉ tốt nhất từ nhà cung cấp.
Sàn trao đổi hàng hóa: Cho phép người bán trao đổi hàng tồn kho hoặc nhượng lại nguyên liệu d"&amp;"ư thừa.
B. Hỗ trợ vận hành
Giao hàng chung (Group Shipping): Kết nối các đơn hàng cùng khu vực để giảm phí ship cho cả người bán và người mua.
Quản lý đơn giản: Công cụ theo dõi doanh thu, tồn kho và công nợ thiết kế riêng cho quy mô nhỏ.
C. Hợp tác M"&amp;"arketing
Bán chéo (Cross-selling): Ví dụ: Người bán bánh kết nối với người bán trà để tạo combo quà tặng chung.
Đánh giá tín nhiệm: Hệ thống xếp hạng người bán và nhà cung cấp dựa trên cộng đồng để hạn chế lừa đảo")</f>
        <v>2. Nội dung thực hiện chính (Key Features)
A. Kết nối &amp; Nhập hàng
Gom đơn hàng sỉ: Nhiều người bán cùng đặt một mặt hàng để có giá sỉ tốt nhất từ nhà cung cấp.
Sàn trao đổi hàng hóa: Cho phép người bán trao đổi hàng tồn kho hoặc nhượng lại nguyên liệu dư thừa.
B. Hỗ trợ vận hành
Giao hàng chung (Group Shipping): Kết nối các đơn hàng cùng khu vực để giảm phí ship cho cả người bán và người mua.
Quản lý đơn giản: Công cụ theo dõi doanh thu, tồn kho và công nợ thiết kế riêng cho quy mô nhỏ.
C. Hợp tác Marketing
Bán chéo (Cross-selling): Ví dụ: Người bán bánh kết nối với người bán trà để tạo combo quà tặng chung.
Đánh giá tín nhiệm: Hệ thống xếp hạng người bán và nhà cung cấp dựa trên cộng đồng để hạn chế lừa đảo</v>
      </c>
      <c r="M202" s="9"/>
      <c r="N202" s="9"/>
      <c r="O202" s="9"/>
      <c r="P202" s="9"/>
      <c r="Q202" s="9" t="str">
        <f>IFERROR(__xludf.DUMMYFUNCTION("""COMPUTED_VALUE"""),"TNDHLTK22_202610515")</f>
        <v>TNDHLTK22_202610515</v>
      </c>
    </row>
    <row r="203">
      <c r="A203" s="10">
        <f>IFERROR(__xludf.DUMMYFUNCTION("""COMPUTED_VALUE"""),46025.85316363426)</f>
        <v>46025.85316</v>
      </c>
      <c r="B203" s="9" t="str">
        <f>IFERROR(__xludf.DUMMYFUNCTION("""COMPUTED_VALUE"""),"huydinh.lhu@gmail.com")</f>
        <v>huydinh.lhu@gmail.com</v>
      </c>
      <c r="C203" s="9">
        <f>IFERROR(__xludf.DUMMYFUNCTION("""COMPUTED_VALUE"""),1.22001155E8)</f>
        <v>122001155</v>
      </c>
      <c r="D203" s="9" t="str">
        <f>IFERROR(__xludf.DUMMYFUNCTION("""COMPUTED_VALUE"""),"Đinh Ngọc Quang Huy")</f>
        <v>Đinh Ngọc Quang Huy</v>
      </c>
      <c r="E203" s="9" t="str">
        <f>IFERROR(__xludf.DUMMYFUNCTION("""COMPUTED_VALUE"""),"0855025924")</f>
        <v>0855025924</v>
      </c>
      <c r="F203" s="9" t="str">
        <f>IFERROR(__xludf.DUMMYFUNCTION("""COMPUTED_VALUE"""),"22CT113")</f>
        <v>22CT113</v>
      </c>
      <c r="G203" s="9" t="str">
        <f>IFERROR(__xludf.DUMMYFUNCTION("""COMPUTED_VALUE"""),"Thực hiện đồ án tốt nghiệp")</f>
        <v>Thực hiện đồ án tốt nghiệp</v>
      </c>
      <c r="H203" s="9" t="str">
        <f>IFERROR(__xludf.DUMMYFUNCTION("""COMPUTED_VALUE"""),"Phan Mạnh Thường")</f>
        <v>Phan Mạnh Thường</v>
      </c>
      <c r="I203" s="9"/>
      <c r="J203" s="9" t="str">
        <f>IFERROR(__xludf.DUMMYFUNCTION("""COMPUTED_VALUE"""),"Xây dựng ứng dụng di động phân loại chất lượng sầu riêng Thái dựa trên hình dáng và độ chín.")</f>
        <v>Xây dựng ứng dụng di động phân loại chất lượng sầu riêng Thái dựa trên hình dáng và độ chín.</v>
      </c>
      <c r="K203" s="9" t="str">
        <f>IFERROR(__xludf.DUMMYFUNCTION("""COMPUTED_VALUE"""),"- Phát triển công cụ giúp người tiêu dùng và tiểu thương tự phân loại sầu riêng nhanh chóng, tránh mua nhầm hàng non hoặc hàng kém chất lượng.
- Ứng dụng công nghệ trí tuệ nhân tạo (YOLOv11) để nhận diện hình dáng và độ chín qua ảnh chụp.
- Cung cấp trợ l"&amp;"ý ảo (Chatbot AI Gemini) để tư vấn mẹo chọn quả và cách bảo quản.")</f>
        <v>- Phát triển công cụ giúp người tiêu dùng và tiểu thương tự phân loại sầu riêng nhanh chóng, tránh mua nhầm hàng non hoặc hàng kém chất lượng.
- Ứng dụng công nghệ trí tuệ nhân tạo (YOLOv11) để nhận diện hình dáng và độ chín qua ảnh chụp.
- Cung cấp trợ lý ảo (Chatbot AI Gemini) để tư vấn mẹo chọn quả và cách bảo quản.</v>
      </c>
      <c r="L203" s="9" t="str">
        <f>IFERROR(__xludf.DUMMYFUNCTION("""COMPUTED_VALUE"""),"- Thu thập dữ liệu: Xây dựng bộ ảnh thực tế về sầu riêng Thái.
- Huấn luyện mô hình nhẹ: Sử dụng phiên bản YOLOv11-Nano (n) – phiên bản siêu nhẹ dành riêng cho thiết bị di động.
- Lập trình ứng dụng (Frontend): Sử dụng các thư viện hỗ trợ AI on-device để "&amp;"thực hiện phân loại.
- Lưu trữ dữ liệu: Sử dụng SQLite hoặc AsyncStorage để quản lý lịch sử mà không cần cơ sở dữ liệu trực tuyến.
- Xử lý Chatbot: Chatbot Gemini sẽ được thiết lập ở chế độ lưu tạm (Cache) hoặc chỉ cần mạng khi người dùng cần tư vấn sâu, "&amp;"còn chức năng phân loại chính là hoàn toàn Offline.
- Thử nghiệm: Kiểm tra độ chính xác của ứng dụng từ ảnh chụp")</f>
        <v>- Thu thập dữ liệu: Xây dựng bộ ảnh thực tế về sầu riêng Thái.
- Huấn luyện mô hình nhẹ: Sử dụng phiên bản YOLOv11-Nano (n) – phiên bản siêu nhẹ dành riêng cho thiết bị di động.
- Lập trình ứng dụng (Frontend): Sử dụng các thư viện hỗ trợ AI on-device để thực hiện phân loại.
- Lưu trữ dữ liệu: Sử dụng SQLite hoặc AsyncStorage để quản lý lịch sử mà không cần cơ sở dữ liệu trực tuyến.
- Xử lý Chatbot: Chatbot Gemini sẽ được thiết lập ở chế độ lưu tạm (Cache) hoặc chỉ cần mạng khi người dùng cần tư vấn sâu, còn chức năng phân loại chính là hoàn toàn Offline.
- Thử nghiệm: Kiểm tra độ chính xác của ứng dụng từ ảnh chụp</v>
      </c>
      <c r="M203" s="9"/>
      <c r="N203" s="9"/>
      <c r="O203" s="9"/>
      <c r="P203" s="9"/>
      <c r="Q203" s="9" t="str">
        <f>IFERROR(__xludf.DUMMYFUNCTION("""COMPUTED_VALUE"""),"TNDHLTK22_202610515")</f>
        <v>TNDHLTK22_202610515</v>
      </c>
    </row>
    <row r="204">
      <c r="A204" s="10">
        <f>IFERROR(__xludf.DUMMYFUNCTION("""COMPUTED_VALUE"""),46025.877660150465)</f>
        <v>46025.87766</v>
      </c>
      <c r="B204" s="9" t="str">
        <f>IFERROR(__xludf.DUMMYFUNCTION("""COMPUTED_VALUE"""),"tmtpubg112@gmail.com")</f>
        <v>tmtpubg112@gmail.com</v>
      </c>
      <c r="C204" s="9">
        <f>IFERROR(__xludf.DUMMYFUNCTION("""COMPUTED_VALUE"""),1.21000804E8)</f>
        <v>121000804</v>
      </c>
      <c r="D204" s="9" t="str">
        <f>IFERROR(__xludf.DUMMYFUNCTION("""COMPUTED_VALUE"""),"Tạ Minh Tâm")</f>
        <v>Tạ Minh Tâm</v>
      </c>
      <c r="E204" s="9" t="str">
        <f>IFERROR(__xludf.DUMMYFUNCTION("""COMPUTED_VALUE"""),"0907774314")</f>
        <v>0907774314</v>
      </c>
      <c r="F204" s="9" t="str">
        <f>IFERROR(__xludf.DUMMYFUNCTION("""COMPUTED_VALUE"""),"21CT111")</f>
        <v>21CT111</v>
      </c>
      <c r="G204" s="9" t="str">
        <f>IFERROR(__xludf.DUMMYFUNCTION("""COMPUTED_VALUE"""),"Thực hiện đồ án tốt nghiệp")</f>
        <v>Thực hiện đồ án tốt nghiệp</v>
      </c>
      <c r="H204" s="9" t="str">
        <f>IFERROR(__xludf.DUMMYFUNCTION("""COMPUTED_VALUE"""),"Đoàn Thiện Minh")</f>
        <v>Đoàn Thiện Minh</v>
      </c>
      <c r="I204" s="9"/>
      <c r="J204" s="9" t="str">
        <f>IFERROR(__xludf.DUMMYFUNCTION("""COMPUTED_VALUE"""),"Quản lý bán hàng")</f>
        <v>Quản lý bán hàng</v>
      </c>
      <c r="K204" s="9" t="str">
        <f>IFERROR(__xludf.DUMMYFUNCTION("""COMPUTED_VALUE"""),"ứng dụng cho các doanh nghiệp nhỏ về việc quản lý bán hàng")</f>
        <v>ứng dụng cho các doanh nghiệp nhỏ về việc quản lý bán hàng</v>
      </c>
      <c r="L204" s="9" t="str">
        <f>IFERROR(__xludf.DUMMYFUNCTION("""COMPUTED_VALUE"""),"Quản lý thông tin khách hàng và tài khoản nhân viên, Quản lý, thao tác với quy trình bán hàng, Quản lý sản phẩm, sản xuất đến giao hàng")</f>
        <v>Quản lý thông tin khách hàng và tài khoản nhân viên, Quản lý, thao tác với quy trình bán hàng, Quản lý sản phẩm, sản xuất đến giao hàng</v>
      </c>
      <c r="M204" s="9"/>
      <c r="N204" s="9"/>
      <c r="O204" s="9"/>
      <c r="P204" s="9"/>
      <c r="Q204" s="9" t="str">
        <f>IFERROR(__xludf.DUMMYFUNCTION("""COMPUTED_VALUE"""),"TNDHLTK22_202610515")</f>
        <v>TNDHLTK22_202610515</v>
      </c>
    </row>
    <row r="205">
      <c r="A205" s="10">
        <f>IFERROR(__xludf.DUMMYFUNCTION("""COMPUTED_VALUE"""),46025.88035129629)</f>
        <v>46025.88035</v>
      </c>
      <c r="B205" s="9" t="str">
        <f>IFERROR(__xludf.DUMMYFUNCTION("""COMPUTED_VALUE"""),"paduc3257@gmail.com")</f>
        <v>paduc3257@gmail.com</v>
      </c>
      <c r="C205" s="9">
        <f>IFERROR(__xludf.DUMMYFUNCTION("""COMPUTED_VALUE"""),1.22000111E8)</f>
        <v>122000111</v>
      </c>
      <c r="D205" s="9" t="str">
        <f>IFERROR(__xludf.DUMMYFUNCTION("""COMPUTED_VALUE"""),"Phạm Anh Đức")</f>
        <v>Phạm Anh Đức</v>
      </c>
      <c r="E205" s="9" t="str">
        <f>IFERROR(__xludf.DUMMYFUNCTION("""COMPUTED_VALUE"""),"0973894731")</f>
        <v>0973894731</v>
      </c>
      <c r="F205" s="9" t="str">
        <f>IFERROR(__xludf.DUMMYFUNCTION("""COMPUTED_VALUE"""),"22CT111")</f>
        <v>22CT111</v>
      </c>
      <c r="G205" s="9" t="str">
        <f>IFERROR(__xludf.DUMMYFUNCTION("""COMPUTED_VALUE"""),"Thực hiện đồ án tốt nghiệp")</f>
        <v>Thực hiện đồ án tốt nghiệp</v>
      </c>
      <c r="H205" s="9" t="str">
        <f>IFERROR(__xludf.DUMMYFUNCTION("""COMPUTED_VALUE"""),"Nguyễn Vũ Duy Quang")</f>
        <v>Nguyễn Vũ Duy Quang</v>
      </c>
      <c r="I205" s="9"/>
      <c r="J205" s="9" t="str">
        <f>IFERROR(__xludf.DUMMYFUNCTION("""COMPUTED_VALUE"""),"NGHIÊN CỨU VÀ XÂY DỰNG MÔ HÌNH CHIA SẺ TÀI LIỆU MẬT AN TOÀN TRÊN NỀN TẢNG DESKTOP")</f>
        <v>NGHIÊN CỨU VÀ XÂY DỰNG MÔ HÌNH CHIA SẺ TÀI LIỆU MẬT AN TOÀN TRÊN NỀN TẢNG DESKTOP</v>
      </c>
      <c r="K205" s="9" t="str">
        <f>IFERROR(__xludf.DUMMYFUNCTION("""COMPUTED_VALUE"""),"- Nghiên cứu các kỹ thuật bảo mật hiện đại trong chia sẻ tài liệu: mã hóa đầu cuối, ghi nhận bất biến
- Xây dựng mô hình thử nghiệm tích hợp các thành phần trên, minh họa quy trình chia sẻ tài liệu mật an toàn
- Đánh giá tính khả thi của mô hình trong môi"&amp;" trường nội bộ cơ quan hành chính
- Đề xuất hướng mở rộng hoặc cải tiến mô hình trong các ứng dụng thực tế")</f>
        <v>- Nghiên cứu các kỹ thuật bảo mật hiện đại trong chia sẻ tài liệu: mã hóa đầu cuối, ghi nhận bất biến
- Xây dựng mô hình thử nghiệm tích hợp các thành phần trên, minh họa quy trình chia sẻ tài liệu mật an toàn
- Đánh giá tính khả thi của mô hình trong môi trường nội bộ cơ quan hành chính
- Đề xuất hướng mở rộng hoặc cải tiến mô hình trong các ứng dụng thực tế</v>
      </c>
      <c r="L205" s="9" t="str">
        <f>IFERROR(__xludf.DUMMYFUNCTION("""COMPUTED_VALUE"""),"- Xây dựng chức năng đăng ký/đăng nhập người dùng bằng email và mật khẩu.
- Thiết kế cơ chế quản lý cặp khóa mã hóa, hỗ trợ:
  + Sinh cụm 12 từ khóa khôi phục (seed phrase).
  + Khôi phục cặp khóa khi mất dữ liệu phía client.
- Phát triển hệ thống quản lý"&amp;" tài liệu:
Mã hóa file trước khi upload và giải mã khi tải về.
  + Lưu trữ file an toàn trên Google Drive.
  + Gắn watermark trực quan và quản lý metadata file.
  + Chia sẻ file cho nhiều người và ghi nhận sự kiện chia sẻ lên blockchain thông qua smart co"&amp;"ntract phía server.
  + Xây dựng chức năng quản lý thông tin cá nhân và lịch sử hoạt động người dùng.
  + Phát triển tính năng quản trị hệ thống, cho phép admin cấm tài khoản người dùng vi phạm.")</f>
        <v>- Xây dựng chức năng đăng ký/đăng nhập người dùng bằng email và mật khẩu.
- Thiết kế cơ chế quản lý cặp khóa mã hóa, hỗ trợ:
  + Sinh cụm 12 từ khóa khôi phục (seed phrase).
  + Khôi phục cặp khóa khi mất dữ liệu phía client.
- Phát triển hệ thống quản lý tài liệu:
Mã hóa file trước khi upload và giải mã khi tải về.
  + Lưu trữ file an toàn trên Google Drive.
  + Gắn watermark trực quan và quản lý metadata file.
  + Chia sẻ file cho nhiều người và ghi nhận sự kiện chia sẻ lên blockchain thông qua smart contract phía server.
  + Xây dựng chức năng quản lý thông tin cá nhân và lịch sử hoạt động người dùng.
  + Phát triển tính năng quản trị hệ thống, cho phép admin cấm tài khoản người dùng vi phạm.</v>
      </c>
      <c r="M205" s="9"/>
      <c r="N205" s="9"/>
      <c r="O205" s="9"/>
      <c r="P205" s="9"/>
      <c r="Q205" s="9" t="str">
        <f>IFERROR(__xludf.DUMMYFUNCTION("""COMPUTED_VALUE"""),"TNDHLTK22_202610515")</f>
        <v>TNDHLTK22_202610515</v>
      </c>
    </row>
    <row r="206">
      <c r="A206" s="10">
        <f>IFERROR(__xludf.DUMMYFUNCTION("""COMPUTED_VALUE"""),46025.881282511575)</f>
        <v>46025.88128</v>
      </c>
      <c r="B206" s="9" t="str">
        <f>IFERROR(__xludf.DUMMYFUNCTION("""COMPUTED_VALUE"""),"phamdungozil08@gmail.com")</f>
        <v>phamdungozil08@gmail.com</v>
      </c>
      <c r="C206" s="9">
        <f>IFERROR(__xludf.DUMMYFUNCTION("""COMPUTED_VALUE"""),1.22001282E8)</f>
        <v>122001282</v>
      </c>
      <c r="D206" s="9" t="str">
        <f>IFERROR(__xludf.DUMMYFUNCTION("""COMPUTED_VALUE"""),"Phạm Dũng ")</f>
        <v>Phạm Dũng </v>
      </c>
      <c r="E206" s="9" t="str">
        <f>IFERROR(__xludf.DUMMYFUNCTION("""COMPUTED_VALUE"""),"0976541503")</f>
        <v>0976541503</v>
      </c>
      <c r="F206" s="9" t="str">
        <f>IFERROR(__xludf.DUMMYFUNCTION("""COMPUTED_VALUE"""),"22CT111")</f>
        <v>22CT111</v>
      </c>
      <c r="G206" s="9" t="str">
        <f>IFERROR(__xludf.DUMMYFUNCTION("""COMPUTED_VALUE"""),"Thực hiện đồ án tốt nghiệp")</f>
        <v>Thực hiện đồ án tốt nghiệp</v>
      </c>
      <c r="H206" s="9" t="str">
        <f>IFERROR(__xludf.DUMMYFUNCTION("""COMPUTED_VALUE"""),"Nguyễn Vũ Duy Quang")</f>
        <v>Nguyễn Vũ Duy Quang</v>
      </c>
      <c r="I206" s="9" t="str">
        <f>IFERROR(__xludf.DUMMYFUNCTION("""COMPUTED_VALUE"""),"Nguyễn Vũ Duy Quang ")</f>
        <v>Nguyễn Vũ Duy Quang </v>
      </c>
      <c r="J206" s="9" t="str">
        <f>IFERROR(__xludf.DUMMYFUNCTION("""COMPUTED_VALUE"""),"NGHIÊN CỨU VÀ XÂY DỰNG MÔ HÌNH CHIA SẺ TÀI LIỆU MẬT AN TOÀN TRÊN NỀN TẢNG WEBSITE")</f>
        <v>NGHIÊN CỨU VÀ XÂY DỰNG MÔ HÌNH CHIA SẺ TÀI LIỆU MẬT AN TOÀN TRÊN NỀN TẢNG WEBSITE</v>
      </c>
      <c r="K206" s="9" t="str">
        <f>IFERROR(__xludf.DUMMYFUNCTION("""COMPUTED_VALUE"""),"Nghiên cứu các kỹ thuật bảo mật hiện đại trong chia sẻ tài liệu: mã hóa đầu cuối, ghi nhận bất biến
Xây dựng mô hình thử nghiệm tích hợp các thành phần trên, minh họa quy trình chia sẻ tài liệu mật an toàn
Đánh giá tính khả thi của mô hình trong môi trườn"&amp;"g nội bộ cơ quan hành chính
Đề xuất hướng mở rộng hoặc cải tiến mô hình trong các ứng dụng thực tế")</f>
        <v>Nghiên cứu các kỹ thuật bảo mật hiện đại trong chia sẻ tài liệu: mã hóa đầu cuối, ghi nhận bất biến
Xây dựng mô hình thử nghiệm tích hợp các thành phần trên, minh họa quy trình chia sẻ tài liệu mật an toàn
Đánh giá tính khả thi của mô hình trong môi trường nội bộ cơ quan hành chính
Đề xuất hướng mở rộng hoặc cải tiến mô hình trong các ứng dụng thực tế</v>
      </c>
      <c r="L206" s="9" t="str">
        <f>IFERROR(__xludf.DUMMYFUNCTION("""COMPUTED_VALUE"""),"- Xây dựng chức năng đăng ký/đăng nhập người dùng bằng email và mật khẩu.
- Thiết kế cơ chế quản lý cặp khóa mã hóa, hỗ trợ:
+ Sinh cụm 12 từ khóa khôi phục (seed phrase).
+ Khôi phục cặp khóa khi mất dữ liệu phía client.
- Phát triển hệ thống quản lý tài"&amp;" liệu:
+ Mã hóa file trước khi upload và giải mã khi tải về.
+ Lưu trữ file an toàn trên Google Drive.
+ Gắn watermark trực quan và quản lý metadata file.
+ Chia sẻ file cho nhiều người và ghi nhận sự kiện chia sẻ lên blockchain thông qua smart contract p"&amp;"hía server.
- Xây dựng chức năng quản lý thông tin cá nhân và lịch sử hoạt động người dùng.
- Phát triển tính năng quản trị hệ thống, cho phép admin cấm tài khoản người dùng vi phạm.")</f>
        <v>- Xây dựng chức năng đăng ký/đăng nhập người dùng bằng email và mật khẩu.
- Thiết kế cơ chế quản lý cặp khóa mã hóa, hỗ trợ:
+ Sinh cụm 12 từ khóa khôi phục (seed phrase).
+ Khôi phục cặp khóa khi mất dữ liệu phía client.
- Phát triển hệ thống quản lý tài liệu:
+ Mã hóa file trước khi upload và giải mã khi tải về.
+ Lưu trữ file an toàn trên Google Drive.
+ Gắn watermark trực quan và quản lý metadata file.
+ Chia sẻ file cho nhiều người và ghi nhận sự kiện chia sẻ lên blockchain thông qua smart contract phía server.
- Xây dựng chức năng quản lý thông tin cá nhân và lịch sử hoạt động người dùng.
- Phát triển tính năng quản trị hệ thống, cho phép admin cấm tài khoản người dùng vi phạm.</v>
      </c>
      <c r="M206" s="9" t="str">
        <f>IFERROR(__xludf.DUMMYFUNCTION("""COMPUTED_VALUE"""),"không có")</f>
        <v>không có</v>
      </c>
      <c r="N206" s="9"/>
      <c r="O206" s="9"/>
      <c r="P206" s="9"/>
      <c r="Q206" s="9" t="str">
        <f>IFERROR(__xludf.DUMMYFUNCTION("""COMPUTED_VALUE"""),"TNDHLTK22_202610515")</f>
        <v>TNDHLTK22_202610515</v>
      </c>
    </row>
    <row r="207">
      <c r="A207" s="10">
        <f>IFERROR(__xludf.DUMMYFUNCTION("""COMPUTED_VALUE"""),46025.88129304398)</f>
        <v>46025.88129</v>
      </c>
      <c r="B207" s="9" t="str">
        <f>IFERROR(__xludf.DUMMYFUNCTION("""COMPUTED_VALUE"""),"nduc42176@gmail.com")</f>
        <v>nduc42176@gmail.com</v>
      </c>
      <c r="C207" s="9">
        <f>IFERROR(__xludf.DUMMYFUNCTION("""COMPUTED_VALUE"""),1.22001473E8)</f>
        <v>122001473</v>
      </c>
      <c r="D207" s="9" t="str">
        <f>IFERROR(__xludf.DUMMYFUNCTION("""COMPUTED_VALUE"""),"Trần Đình Phúc Đức")</f>
        <v>Trần Đình Phúc Đức</v>
      </c>
      <c r="E207" s="9" t="str">
        <f>IFERROR(__xludf.DUMMYFUNCTION("""COMPUTED_VALUE"""),"0816111891")</f>
        <v>0816111891</v>
      </c>
      <c r="F207" s="9" t="str">
        <f>IFERROR(__xludf.DUMMYFUNCTION("""COMPUTED_VALUE"""),"22CT115")</f>
        <v>22CT115</v>
      </c>
      <c r="G207" s="9" t="str">
        <f>IFERROR(__xludf.DUMMYFUNCTION("""COMPUTED_VALUE"""),"Thực hiện đồ án tốt nghiệp")</f>
        <v>Thực hiện đồ án tốt nghiệp</v>
      </c>
      <c r="H207" s="9" t="str">
        <f>IFERROR(__xludf.DUMMYFUNCTION("""COMPUTED_VALUE"""),"Nguyễn Vũ Duy Quang")</f>
        <v>Nguyễn Vũ Duy Quang</v>
      </c>
      <c r="I207" s="9"/>
      <c r="J207" s="9" t="str">
        <f>IFERROR(__xludf.DUMMYFUNCTION("""COMPUTED_VALUE"""),"NGHIÊN CỨU VÀ XÂY DỰNG MÔ HÌNH CHIA SẺ TÀI LIỆU MẬT AN TOÀN TRÊN NỀN TẢNG WEBSITE")</f>
        <v>NGHIÊN CỨU VÀ XÂY DỰNG MÔ HÌNH CHIA SẺ TÀI LIỆU MẬT AN TOÀN TRÊN NỀN TẢNG WEBSITE</v>
      </c>
      <c r="K207" s="9" t="str">
        <f>IFERROR(__xludf.DUMMYFUNCTION("""COMPUTED_VALUE"""),"Xây dựng một hệ thống chia sẻ tài liệu mật an toàn cho phép người dùng lưu trữ, mã hóa, chia sẻ và theo dõi tài liệu số một cách bảo mật.
Hệ thống kết hợp mã hóa hiện đại (X25519, AES-256-GCM) và blockchain nhằm đảm bảo tính riêng tư, toàn vẹn dữ liệu và "&amp;"khả năng truy vết các sự kiện chia sẻ, trong khi vẫn đảm bảo trải nghiệm thân thiện cho người dùng phổ thông (không cần sử dụng ví blockchain).")</f>
        <v>Xây dựng một hệ thống chia sẻ tài liệu mật an toàn cho phép người dùng lưu trữ, mã hóa, chia sẻ và theo dõi tài liệu số một cách bảo mật.
Hệ thống kết hợp mã hóa hiện đại (X25519, AES-256-GCM) và blockchain nhằm đảm bảo tính riêng tư, toàn vẹn dữ liệu và khả năng truy vết các sự kiện chia sẻ, trong khi vẫn đảm bảo trải nghiệm thân thiện cho người dùng phổ thông (không cần sử dụng ví blockchain).</v>
      </c>
      <c r="L207" s="9" t="str">
        <f>IFERROR(__xludf.DUMMYFUNCTION("""COMPUTED_VALUE"""),"- Xây dựng chức năng đăng ký/đăng nhập người dùng bằng email và mật khẩu.
- Thiết kế cơ chế quản lý cặp khóa mã hóa, hỗ trợ:
+ Sinh cụm 12 từ khóa khôi phục (seed phrase).
+ Khôi phục cặp khóa khi mất dữ liệu phía client.
- Phát triển hệ thống quản lý tài"&amp;" liệu:
+ Mã hóa file trước khi upload và giải mã khi tải về.
+ Lưu trữ file an toàn trên Google Drive.
+ Gắn watermark trực quan và quản lý metadata file.
+ Chia sẻ file cho nhiều người và ghi nhận sự kiện chia sẻ lên blockchain thông qua smart contract p"&amp;"hía server.
- Xây dựng chức năng quản lý thông tin cá nhân và lịch sử hoạt động người dùng.
- Phát triển tính năng quản trị hệ thống, cho phép admin cấm tài khoản người dùng vi phạm.")</f>
        <v>- Xây dựng chức năng đăng ký/đăng nhập người dùng bằng email và mật khẩu.
- Thiết kế cơ chế quản lý cặp khóa mã hóa, hỗ trợ:
+ Sinh cụm 12 từ khóa khôi phục (seed phrase).
+ Khôi phục cặp khóa khi mất dữ liệu phía client.
- Phát triển hệ thống quản lý tài liệu:
+ Mã hóa file trước khi upload và giải mã khi tải về.
+ Lưu trữ file an toàn trên Google Drive.
+ Gắn watermark trực quan và quản lý metadata file.
+ Chia sẻ file cho nhiều người và ghi nhận sự kiện chia sẻ lên blockchain thông qua smart contract phía server.
- Xây dựng chức năng quản lý thông tin cá nhân và lịch sử hoạt động người dùng.
- Phát triển tính năng quản trị hệ thống, cho phép admin cấm tài khoản người dùng vi phạm.</v>
      </c>
      <c r="M207" s="9"/>
      <c r="N207" s="9"/>
      <c r="O207" s="9"/>
      <c r="P207" s="9"/>
      <c r="Q207" s="9" t="str">
        <f>IFERROR(__xludf.DUMMYFUNCTION("""COMPUTED_VALUE"""),"TNDHLTK22_202610515")</f>
        <v>TNDHLTK22_202610515</v>
      </c>
    </row>
    <row r="208">
      <c r="A208" s="10">
        <f>IFERROR(__xludf.DUMMYFUNCTION("""COMPUTED_VALUE"""),46025.88510021991)</f>
        <v>46025.8851</v>
      </c>
      <c r="B208" s="9" t="str">
        <f>IFERROR(__xludf.DUMMYFUNCTION("""COMPUTED_VALUE"""),"xuanquangnna@gmail.com")</f>
        <v>xuanquangnna@gmail.com</v>
      </c>
      <c r="C208" s="9">
        <f>IFERROR(__xludf.DUMMYFUNCTION("""COMPUTED_VALUE"""),1.2200135E8)</f>
        <v>122001350</v>
      </c>
      <c r="D208" s="9" t="str">
        <f>IFERROR(__xludf.DUMMYFUNCTION("""COMPUTED_VALUE"""),"Lại Xuân Quang")</f>
        <v>Lại Xuân Quang</v>
      </c>
      <c r="E208" s="9" t="str">
        <f>IFERROR(__xludf.DUMMYFUNCTION("""COMPUTED_VALUE"""),"0325906617")</f>
        <v>0325906617</v>
      </c>
      <c r="F208" s="9" t="str">
        <f>IFERROR(__xludf.DUMMYFUNCTION("""COMPUTED_VALUE"""),"22CT111")</f>
        <v>22CT111</v>
      </c>
      <c r="G208" s="9" t="str">
        <f>IFERROR(__xludf.DUMMYFUNCTION("""COMPUTED_VALUE"""),"Thực hiện đồ án tốt nghiệp")</f>
        <v>Thực hiện đồ án tốt nghiệp</v>
      </c>
      <c r="H208" s="9" t="str">
        <f>IFERROR(__xludf.DUMMYFUNCTION("""COMPUTED_VALUE"""),"Nguyễn Vũ Duy Quang")</f>
        <v>Nguyễn Vũ Duy Quang</v>
      </c>
      <c r="I208" s="9"/>
      <c r="J208" s="9" t="str">
        <f>IFERROR(__xludf.DUMMYFUNCTION("""COMPUTED_VALUE"""),"NGHIÊN CỨU VÀ XÂY DỰNG MÔ HÌNH CHIA SẺ TÀI LIỆU MẬT AN TOÀN TRÊN NỀN TẢNG DESKTOP")</f>
        <v>NGHIÊN CỨU VÀ XÂY DỰNG MÔ HÌNH CHIA SẺ TÀI LIỆU MẬT AN TOÀN TRÊN NỀN TẢNG DESKTOP</v>
      </c>
      <c r="K208" s="9" t="str">
        <f>IFERROR(__xludf.DUMMYFUNCTION("""COMPUTED_VALUE"""),"Xây dựng một hệ thống chia sẻ tài liệu mật an toàn cho phép người dùng lưu trữ, mã hóa, chia sẻ và theo dõi tài liệu số một cách bảo mật.
Hệ thống kết hợp mã hóa hiện đại (X25519, AES-256-GCM) và blockchain nhằm đảm bảo tính riêng tư, toàn vẹn dữ liệu và "&amp;"khả năng truy vết các sự kiện chia sẻ, trong khi vẫn đảm bảo trải nghiệm thân thiện cho người dùng phổ thông (không cần sử dụng ví blockchain).")</f>
        <v>Xây dựng một hệ thống chia sẻ tài liệu mật an toàn cho phép người dùng lưu trữ, mã hóa, chia sẻ và theo dõi tài liệu số một cách bảo mật.
Hệ thống kết hợp mã hóa hiện đại (X25519, AES-256-GCM) và blockchain nhằm đảm bảo tính riêng tư, toàn vẹn dữ liệu và khả năng truy vết các sự kiện chia sẻ, trong khi vẫn đảm bảo trải nghiệm thân thiện cho người dùng phổ thông (không cần sử dụng ví blockchain).</v>
      </c>
      <c r="L208" s="9" t="str">
        <f>IFERROR(__xludf.DUMMYFUNCTION("""COMPUTED_VALUE"""),"- Xây dựng chức năng đăng ký/đăng nhập người dùng bằng email và mật khẩu.
- Thiết kế cơ chế quản lý cặp khóa mã hóa, hỗ trợ:
+ Sinh cụm 12 từ khóa khôi phục (seed phrase).
+ Khôi phục cặp khóa khi mất dữ liệu phía client.
- Phát triển hệ thống quản lý tài"&amp;" liệu:
+ Mã hóa file trước khi upload và giải mã khi tải về.
+ Lưu trữ file an toàn trên Google Drive.
+ Gắn watermark trực quan và quản lý metadata file.
+ Chia sẻ file cho nhiều người và ghi nhận sự kiện chia sẻ lên blockchain thông qua smart contract p"&amp;"hía server.
- Xây dựng chức năng quản lý thông tin cá nhân và lịch sử hoạt động người dùng.
- Phát triển tính năng quản trị hệ thống, cho phép admin cấm tài khoản người dùng vi phạm.")</f>
        <v>- Xây dựng chức năng đăng ký/đăng nhập người dùng bằng email và mật khẩu.
- Thiết kế cơ chế quản lý cặp khóa mã hóa, hỗ trợ:
+ Sinh cụm 12 từ khóa khôi phục (seed phrase).
+ Khôi phục cặp khóa khi mất dữ liệu phía client.
- Phát triển hệ thống quản lý tài liệu:
+ Mã hóa file trước khi upload và giải mã khi tải về.
+ Lưu trữ file an toàn trên Google Drive.
+ Gắn watermark trực quan và quản lý metadata file.
+ Chia sẻ file cho nhiều người và ghi nhận sự kiện chia sẻ lên blockchain thông qua smart contract phía server.
- Xây dựng chức năng quản lý thông tin cá nhân và lịch sử hoạt động người dùng.
- Phát triển tính năng quản trị hệ thống, cho phép admin cấm tài khoản người dùng vi phạm.</v>
      </c>
      <c r="M208" s="9"/>
      <c r="N208" s="9"/>
      <c r="O208" s="9"/>
      <c r="P208" s="9"/>
      <c r="Q208" s="9" t="str">
        <f>IFERROR(__xludf.DUMMYFUNCTION("""COMPUTED_VALUE"""),"TNDHLTK22_202610515")</f>
        <v>TNDHLTK22_202610515</v>
      </c>
    </row>
    <row r="209">
      <c r="A209" s="10">
        <f>IFERROR(__xludf.DUMMYFUNCTION("""COMPUTED_VALUE"""),46025.88558893518)</f>
        <v>46025.88559</v>
      </c>
      <c r="B209" s="9" t="str">
        <f>IFERROR(__xludf.DUMMYFUNCTION("""COMPUTED_VALUE"""),"thanhnguyen170902@gmail.com")</f>
        <v>thanhnguyen170902@gmail.com</v>
      </c>
      <c r="C209" s="9">
        <f>IFERROR(__xludf.DUMMYFUNCTION("""COMPUTED_VALUE"""),1.21000266E8)</f>
        <v>121000266</v>
      </c>
      <c r="D209" s="9" t="str">
        <f>IFERROR(__xludf.DUMMYFUNCTION("""COMPUTED_VALUE"""),"Nguyễn Hoàng Thanh")</f>
        <v>Nguyễn Hoàng Thanh</v>
      </c>
      <c r="E209" s="9" t="str">
        <f>IFERROR(__xludf.DUMMYFUNCTION("""COMPUTED_VALUE"""),"0383167970")</f>
        <v>0383167970</v>
      </c>
      <c r="F209" s="9">
        <f>IFERROR(__xludf.DUMMYFUNCTION("""COMPUTED_VALUE"""),1.21000266E8)</f>
        <v>121000266</v>
      </c>
      <c r="G209" s="9" t="str">
        <f>IFERROR(__xludf.DUMMYFUNCTION("""COMPUTED_VALUE"""),"Thực hiện đồ án tốt nghiệp")</f>
        <v>Thực hiện đồ án tốt nghiệp</v>
      </c>
      <c r="H209" s="9" t="str">
        <f>IFERROR(__xludf.DUMMYFUNCTION("""COMPUTED_VALUE"""),"Đoàn Thiện Minh")</f>
        <v>Đoàn Thiện Minh</v>
      </c>
      <c r="I209" s="9"/>
      <c r="J209" s="9" t="str">
        <f>IFERROR(__xludf.DUMMYFUNCTION("""COMPUTED_VALUE"""),"Quản lý Bán hàng")</f>
        <v>Quản lý Bán hàng</v>
      </c>
      <c r="K209" s="9" t="str">
        <f>IFERROR(__xludf.DUMMYFUNCTION("""COMPUTED_VALUE"""),"Tạo ra một hệ thống quản lý hàng hóa cho các cửa hàng và doanh nghiệp nhỏ dễ dàng kiểm soát hàng hóa")</f>
        <v>Tạo ra một hệ thống quản lý hàng hóa cho các cửa hàng và doanh nghiệp nhỏ dễ dàng kiểm soát hàng hóa</v>
      </c>
      <c r="L209" s="9" t="str">
        <f>IFERROR(__xludf.DUMMYFUNCTION("""COMPUTED_VALUE"""),"Gồm các chức năng chính:
Quản lý thông tin khách hàng và tài khoản nhân viên
Quản lý, thao tác với quy trình bán hàng
Quản lý sản phẩm, sản xuất đến giao hàng
Tổng hợp thông tin bán hàng.")</f>
        <v>Gồm các chức năng chính:
Quản lý thông tin khách hàng và tài khoản nhân viên
Quản lý, thao tác với quy trình bán hàng
Quản lý sản phẩm, sản xuất đến giao hàng
Tổng hợp thông tin bán hàng.</v>
      </c>
      <c r="M209" s="9"/>
      <c r="N209" s="9"/>
      <c r="O209" s="9"/>
      <c r="P209" s="9"/>
      <c r="Q209" s="9" t="str">
        <f>IFERROR(__xludf.DUMMYFUNCTION("""COMPUTED_VALUE"""),"TNDHLTK22_202610515")</f>
        <v>TNDHLTK22_202610515</v>
      </c>
    </row>
    <row r="210">
      <c r="A210" s="10">
        <f>IFERROR(__xludf.DUMMYFUNCTION("""COMPUTED_VALUE"""),46025.8904421412)</f>
        <v>46025.89044</v>
      </c>
      <c r="B210" s="9" t="str">
        <f>IFERROR(__xludf.DUMMYFUNCTION("""COMPUTED_VALUE"""),"tranduchuy2k4.work@gmail.com")</f>
        <v>tranduchuy2k4.work@gmail.com</v>
      </c>
      <c r="C210" s="9">
        <f>IFERROR(__xludf.DUMMYFUNCTION("""COMPUTED_VALUE"""),1.22000661E8)</f>
        <v>122000661</v>
      </c>
      <c r="D210" s="9" t="str">
        <f>IFERROR(__xludf.DUMMYFUNCTION("""COMPUTED_VALUE"""),"Trần Đức Huy ")</f>
        <v>Trần Đức Huy </v>
      </c>
      <c r="E210" s="9" t="str">
        <f>IFERROR(__xludf.DUMMYFUNCTION("""COMPUTED_VALUE"""),"0348561030")</f>
        <v>0348561030</v>
      </c>
      <c r="F210" s="9" t="str">
        <f>IFERROR(__xludf.DUMMYFUNCTION("""COMPUTED_VALUE"""),"22CT113")</f>
        <v>22CT113</v>
      </c>
      <c r="G210" s="9" t="str">
        <f>IFERROR(__xludf.DUMMYFUNCTION("""COMPUTED_VALUE"""),"Thực hiện đồ án tốt nghiệp")</f>
        <v>Thực hiện đồ án tốt nghiệp</v>
      </c>
      <c r="H210" s="9" t="str">
        <f>IFERROR(__xludf.DUMMYFUNCTION("""COMPUTED_VALUE"""),"Bùi Thị Thu Trang")</f>
        <v>Bùi Thị Thu Trang</v>
      </c>
      <c r="I210" s="9" t="str">
        <f>IFERROR(__xludf.DUMMYFUNCTION("""COMPUTED_VALUE"""),"Bùi Thị Thu Trang ")</f>
        <v>Bùi Thị Thu Trang </v>
      </c>
      <c r="J210" s="9" t="str">
        <f>IFERROR(__xludf.DUMMYFUNCTION("""COMPUTED_VALUE"""),"Đánh giá hiệu quả và đưa ra chiến lược MKT trên sàn TMĐT")</f>
        <v>Đánh giá hiệu quả và đưa ra chiến lược MKT trên sàn TMĐT</v>
      </c>
      <c r="K210" s="9" t="str">
        <f>IFERROR(__xludf.DUMMYFUNCTION("""COMPUTED_VALUE"""),"Nghiên cứu đưa ra đc mối quan hệ, phân tích. Đánh giá hiệu quả của mkt trên sàn tmđt thông qua các chỉ số đo lương như lưu lượng truy cập, tỉ lệ chuyển đổi, chi phí mkt, doanh thu của 1 doanh nghiệp, phân tích mối quan hệ giữa hđ mkt và hiệu quản vận hành"&amp;" sàn")</f>
        <v>Nghiên cứu đưa ra đc mối quan hệ, phân tích. Đánh giá hiệu quả của mkt trên sàn tmđt thông qua các chỉ số đo lương như lưu lượng truy cập, tỉ lệ chuyển đổi, chi phí mkt, doanh thu của 1 doanh nghiệp, phân tích mối quan hệ giữa hđ mkt và hiệu quản vận hành sàn</v>
      </c>
      <c r="L210" s="9" t="str">
        <f>IFERROR(__xludf.DUMMYFUNCTION("""COMPUTED_VALUE"""),"Chưa có")</f>
        <v>Chưa có</v>
      </c>
      <c r="M210" s="9"/>
      <c r="N210" s="9"/>
      <c r="O210" s="9"/>
      <c r="P210" s="9"/>
      <c r="Q210" s="9" t="str">
        <f>IFERROR(__xludf.DUMMYFUNCTION("""COMPUTED_VALUE"""),"TNDHLTK22_202610515")</f>
        <v>TNDHLTK22_202610515</v>
      </c>
    </row>
    <row r="211">
      <c r="A211" s="10">
        <f>IFERROR(__xludf.DUMMYFUNCTION("""COMPUTED_VALUE"""),46025.90293150463)</f>
        <v>46025.90293</v>
      </c>
      <c r="B211" s="9" t="str">
        <f>IFERROR(__xludf.DUMMYFUNCTION("""COMPUTED_VALUE"""),"quannguyendinh267@gmail.com")</f>
        <v>quannguyendinh267@gmail.com</v>
      </c>
      <c r="C211" s="9">
        <f>IFERROR(__xludf.DUMMYFUNCTION("""COMPUTED_VALUE"""),1.21000402E8)</f>
        <v>121000402</v>
      </c>
      <c r="D211" s="9" t="str">
        <f>IFERROR(__xludf.DUMMYFUNCTION("""COMPUTED_VALUE"""),"Nguyễn Đình Quân")</f>
        <v>Nguyễn Đình Quân</v>
      </c>
      <c r="E211" s="9" t="str">
        <f>IFERROR(__xludf.DUMMYFUNCTION("""COMPUTED_VALUE"""),"0976134736")</f>
        <v>0976134736</v>
      </c>
      <c r="F211" s="9" t="str">
        <f>IFERROR(__xludf.DUMMYFUNCTION("""COMPUTED_VALUE"""),"21CT113")</f>
        <v>21CT113</v>
      </c>
      <c r="G211" s="9" t="str">
        <f>IFERROR(__xludf.DUMMYFUNCTION("""COMPUTED_VALUE"""),"Thực hiện đồ án tốt nghiệp")</f>
        <v>Thực hiện đồ án tốt nghiệp</v>
      </c>
      <c r="H211" s="9" t="str">
        <f>IFERROR(__xludf.DUMMYFUNCTION("""COMPUTED_VALUE"""),"Nguyễn Minh Sơn")</f>
        <v>Nguyễn Minh Sơn</v>
      </c>
      <c r="I211" s="9"/>
      <c r="J211" s="9" t="str">
        <f>IFERROR(__xludf.DUMMYFUNCTION("""COMPUTED_VALUE"""),"Hệ thống quản lý khách hàng")</f>
        <v>Hệ thống quản lý khách hàng</v>
      </c>
      <c r="K211" s="9" t="str">
        <f>IFERROR(__xludf.DUMMYFUNCTION("""COMPUTED_VALUE"""),".")</f>
        <v>.</v>
      </c>
      <c r="L211" s="9" t="str">
        <f>IFERROR(__xludf.DUMMYFUNCTION("""COMPUTED_VALUE"""),"Thêm, sửa, xoá thông tin")</f>
        <v>Thêm, sửa, xoá thông tin</v>
      </c>
      <c r="M211" s="9"/>
      <c r="N211" s="9"/>
      <c r="O211" s="9"/>
      <c r="P211" s="9"/>
      <c r="Q211" s="9" t="str">
        <f>IFERROR(__xludf.DUMMYFUNCTION("""COMPUTED_VALUE"""),"TNDHLTK22_202610515")</f>
        <v>TNDHLTK22_202610515</v>
      </c>
    </row>
    <row r="212">
      <c r="A212" s="10">
        <f>IFERROR(__xludf.DUMMYFUNCTION("""COMPUTED_VALUE"""),46025.92913483796)</f>
        <v>46025.92913</v>
      </c>
      <c r="B212" s="9" t="str">
        <f>IFERROR(__xludf.DUMMYFUNCTION("""COMPUTED_VALUE"""),"phucnguyenaqua0602@gmail.com")</f>
        <v>phucnguyenaqua0602@gmail.com</v>
      </c>
      <c r="C212" s="9">
        <f>IFERROR(__xludf.DUMMYFUNCTION("""COMPUTED_VALUE"""),1.22000705E8)</f>
        <v>122000705</v>
      </c>
      <c r="D212" s="9" t="str">
        <f>IFERROR(__xludf.DUMMYFUNCTION("""COMPUTED_VALUE"""),"Nguyễn Hữu Phúc")</f>
        <v>Nguyễn Hữu Phúc</v>
      </c>
      <c r="E212" s="9" t="str">
        <f>IFERROR(__xludf.DUMMYFUNCTION("""COMPUTED_VALUE"""),"0869794753")</f>
        <v>0869794753</v>
      </c>
      <c r="F212" s="9" t="str">
        <f>IFERROR(__xludf.DUMMYFUNCTION("""COMPUTED_VALUE"""),"22CT114")</f>
        <v>22CT114</v>
      </c>
      <c r="G212" s="9" t="str">
        <f>IFERROR(__xludf.DUMMYFUNCTION("""COMPUTED_VALUE"""),"Thực hiện đồ án tốt nghiệp")</f>
        <v>Thực hiện đồ án tốt nghiệp</v>
      </c>
      <c r="H212" s="9" t="str">
        <f>IFERROR(__xludf.DUMMYFUNCTION("""COMPUTED_VALUE"""),"Bùi Thị Thu Trang")</f>
        <v>Bùi Thị Thu Trang</v>
      </c>
      <c r="I212" s="9"/>
      <c r="J212" s="9" t="str">
        <f>IFERROR(__xludf.DUMMYFUNCTION("""COMPUTED_VALUE"""),"Phân loại trình độ sinh viên dựa trên điểm số và hành vi học tập")</f>
        <v>Phân loại trình độ sinh viên dựa trên điểm số và hành vi học tập</v>
      </c>
      <c r="K212" s="9" t="str">
        <f>IFERROR(__xludf.DUMMYFUNCTION("""COMPUTED_VALUE"""),"Tạo ra 1 dự án có thể phân tích phân loại trình độ sinh viên")</f>
        <v>Tạo ra 1 dự án có thể phân tích phân loại trình độ sinh viên</v>
      </c>
      <c r="L212" s="9" t="str">
        <f>IFERROR(__xludf.DUMMYFUNCTION("""COMPUTED_VALUE"""),"Tạo ra 1 dự án có thể phân tích phân loại trình độ sinh viên")</f>
        <v>Tạo ra 1 dự án có thể phân tích phân loại trình độ sinh viên</v>
      </c>
      <c r="M212" s="9"/>
      <c r="N212" s="9"/>
      <c r="O212" s="9"/>
      <c r="P212" s="9"/>
      <c r="Q212" s="9" t="str">
        <f>IFERROR(__xludf.DUMMYFUNCTION("""COMPUTED_VALUE"""),"TNDHLTK22_202610515")</f>
        <v>TNDHLTK22_202610515</v>
      </c>
    </row>
    <row r="213">
      <c r="A213" s="10">
        <f>IFERROR(__xludf.DUMMYFUNCTION("""COMPUTED_VALUE"""),46025.93704217592)</f>
        <v>46025.93704</v>
      </c>
      <c r="B213" s="9" t="str">
        <f>IFERROR(__xludf.DUMMYFUNCTION("""COMPUTED_VALUE"""),"lean59312@gmail.com")</f>
        <v>lean59312@gmail.com</v>
      </c>
      <c r="C213" s="9">
        <f>IFERROR(__xludf.DUMMYFUNCTION("""COMPUTED_VALUE"""),1.22000496E8)</f>
        <v>122000496</v>
      </c>
      <c r="D213" s="9" t="str">
        <f>IFERROR(__xludf.DUMMYFUNCTION("""COMPUTED_VALUE"""),"Lê An ")</f>
        <v>Lê An </v>
      </c>
      <c r="E213" s="9" t="str">
        <f>IFERROR(__xludf.DUMMYFUNCTION("""COMPUTED_VALUE"""),"0345975171")</f>
        <v>0345975171</v>
      </c>
      <c r="F213" s="9" t="str">
        <f>IFERROR(__xludf.DUMMYFUNCTION("""COMPUTED_VALUE"""),"22CT115")</f>
        <v>22CT115</v>
      </c>
      <c r="G213" s="9" t="str">
        <f>IFERROR(__xludf.DUMMYFUNCTION("""COMPUTED_VALUE"""),"Thực hiện đồ án tốt nghiệp")</f>
        <v>Thực hiện đồ án tốt nghiệp</v>
      </c>
      <c r="H213" s="9" t="str">
        <f>IFERROR(__xludf.DUMMYFUNCTION("""COMPUTED_VALUE"""),"Bùi Thị Thu Trang")</f>
        <v>Bùi Thị Thu Trang</v>
      </c>
      <c r="I213" s="9"/>
      <c r="J213" s="9" t="str">
        <f>IFERROR(__xludf.DUMMYFUNCTION("""COMPUTED_VALUE"""),"web bán thương mại điện tử")</f>
        <v>web bán thương mại điện tử</v>
      </c>
      <c r="K213" s="9" t="str">
        <f>IFERROR(__xludf.DUMMYFUNCTION("""COMPUTED_VALUE"""),"tốt nghiệp ")</f>
        <v>tốt nghiệp </v>
      </c>
      <c r="L213" s="9" t="str">
        <f>IFERROR(__xludf.DUMMYFUNCTION("""COMPUTED_VALUE"""),"CHƯƠNG 1: MỞ ĐẦU
Tên đề tài: Xây dựng Website kinh doanh thiết bị công nghệ (Điện thoại, Laptop, những linh kiện điện tử,vv).
Lý do chọn đề tài:
Nhu cầu mua sắm đồ công nghệ online rất lớn.
Khách hàng cần nơi để so sánh cấu hình (RAM, Chip, Pin...) dễ dàn"&amp;"g trước khi mua.
Mục tiêu: Xây dựng shop công nghệ online giúp khách xem cấu hình, giá bán và đặt hàng nhanh chóng.
CHƯƠNG 2: PHÂN TÍCH HỆ THỐNG (PHẦN QUAN TRỌNG NHẤT)
1. Các chức năng đặc thù:
Tìm kiếm &amp; Lọc nâng cao: Khách hàng phải lọc được theo: Hãng "&amp;"(Apple, Samsung, Dell...), Mức giá, Dung lượng (128GB, 256GB), Loại máy (Gaming, Văn phòng).
So sánh sản phẩm: (Nếu làm được thì điểm rất cao) Cho phép chọn 2 máy để so sánh cấu hình bên cạnh nhau.
2. Thiết kế Cơ sở dữ liệu :
Bảng DanhMuc : Điện thoại, La"&amp;"ptop, Phụ kiện (Chuột, Phím).
Bảng ThuongHieu : Apple, Samsung, ASUS, Dell, HP...
Bảng SanPham :
Tên máy (Ví dụ: iPhone 15 Pro Max).
Giá gốc / Giá khuyến mãi.
Hình ảnh đại diện.
Mô tả cấu hình tóm tắt: (Ví dụ: ""Core i5, RAM 8GB, SSD 512GB"").
Bảng ChiTie"&amp;"tCauHinh (Product_Specs): Lưu kỹ các thông số để hiển thị bảng cấu hình.
Màn hình (6.7 inch, OLED).
CPU (Snapdragon 8 Gen 2 / Apple A17).
RAM / Bộ nhớ trong (ROM).
Pin / Sạc.
CHƯƠNG 3: GIAO DIỆN &amp; KẾT QUẢ
Trang chủ: Banner iPhone/Laptop mới ra mắt, danh s"&amp;"ách ""Sản phẩm bán chạy"", ""Laptop Gaming giảm giá"".
Trang danh mục: Có bộ lọc bên trái (Lọc theo Giá, Lọc theo Hãng).
Trang chi tiết sản phẩm: Phải có Bảng thông số kỹ thuật (Đây là cái khách mua đồ công nghệ quan tâm nhất).
Trang giỏ hàng &amp; Thanh toán"&amp;": Như các web thường.
Trang Admin: Form nhập liệu sản phẩm phải có chỗ để nhập cấu hình máy.
CHƯƠNG 4: KẾT LUẬN
Đã làm được: Website hiển thị đầy đủ thông tin máy, lọc được sản phẩm theo hãng và giá tiền
")</f>
        <v>CHƯƠNG 1: MỞ ĐẦU
Tên đề tài: Xây dựng Website kinh doanh thiết bị công nghệ (Điện thoại, Laptop, những linh kiện điện tử,vv).
Lý do chọn đề tài:
Nhu cầu mua sắm đồ công nghệ online rất lớn.
Khách hàng cần nơi để so sánh cấu hình (RAM, Chip, Pin...) dễ dàng trước khi mua.
Mục tiêu: Xây dựng shop công nghệ online giúp khách xem cấu hình, giá bán và đặt hàng nhanh chóng.
CHƯƠNG 2: PHÂN TÍCH HỆ THỐNG (PHẦN QUAN TRỌNG NHẤT)
1. Các chức năng đặc thù:
Tìm kiếm &amp; Lọc nâng cao: Khách hàng phải lọc được theo: Hãng (Apple, Samsung, Dell...), Mức giá, Dung lượng (128GB, 256GB), Loại máy (Gaming, Văn phòng).
So sánh sản phẩm: (Nếu làm được thì điểm rất cao) Cho phép chọn 2 máy để so sánh cấu hình bên cạnh nhau.
2. Thiết kế Cơ sở dữ liệu :
Bảng DanhMuc : Điện thoại, Laptop, Phụ kiện (Chuột, Phím).
Bảng ThuongHieu : Apple, Samsung, ASUS, Dell, HP...
Bảng SanPham :
Tên máy (Ví dụ: iPhone 15 Pro Max).
Giá gốc / Giá khuyến mãi.
Hình ảnh đại diện.
Mô tả cấu hình tóm tắt: (Ví dụ: "Core i5, RAM 8GB, SSD 512GB").
Bảng ChiTietCauHinh (Product_Specs): Lưu kỹ các thông số để hiển thị bảng cấu hình.
Màn hình (6.7 inch, OLED).
CPU (Snapdragon 8 Gen 2 / Apple A17).
RAM / Bộ nhớ trong (ROM).
Pin / Sạc.
CHƯƠNG 3: GIAO DIỆN &amp; KẾT QUẢ
Trang chủ: Banner iPhone/Laptop mới ra mắt, danh sách "Sản phẩm bán chạy", "Laptop Gaming giảm giá".
Trang danh mục: Có bộ lọc bên trái (Lọc theo Giá, Lọc theo Hãng).
Trang chi tiết sản phẩm: Phải có Bảng thông số kỹ thuật (Đây là cái khách mua đồ công nghệ quan tâm nhất).
Trang giỏ hàng &amp; Thanh toán: Như các web thường.
Trang Admin: Form nhập liệu sản phẩm phải có chỗ để nhập cấu hình máy.
CHƯƠNG 4: KẾT LUẬN
Đã làm được: Website hiển thị đầy đủ thông tin máy, lọc được sản phẩm theo hãng và giá tiền
</v>
      </c>
      <c r="M213" s="9"/>
      <c r="N213" s="9"/>
      <c r="O213" s="9"/>
      <c r="P213" s="9"/>
      <c r="Q213" s="9" t="str">
        <f>IFERROR(__xludf.DUMMYFUNCTION("""COMPUTED_VALUE"""),"TNDHLTK22_202610515")</f>
        <v>TNDHLTK22_202610515</v>
      </c>
    </row>
    <row r="214">
      <c r="A214" s="10">
        <f>IFERROR(__xludf.DUMMYFUNCTION("""COMPUTED_VALUE"""),46025.942409131945)</f>
        <v>46025.94241</v>
      </c>
      <c r="B214" s="9" t="str">
        <f>IFERROR(__xludf.DUMMYFUNCTION("""COMPUTED_VALUE"""),"vuduc9534@gmail.com")</f>
        <v>vuduc9534@gmail.com</v>
      </c>
      <c r="C214" s="9">
        <f>IFERROR(__xludf.DUMMYFUNCTION("""COMPUTED_VALUE"""),1.22000268E8)</f>
        <v>122000268</v>
      </c>
      <c r="D214" s="9" t="str">
        <f>IFERROR(__xludf.DUMMYFUNCTION("""COMPUTED_VALUE"""),"Vũ Tiến Đức")</f>
        <v>Vũ Tiến Đức</v>
      </c>
      <c r="E214" s="9" t="str">
        <f>IFERROR(__xludf.DUMMYFUNCTION("""COMPUTED_VALUE"""),"0984814271")</f>
        <v>0984814271</v>
      </c>
      <c r="F214" s="9" t="str">
        <f>IFERROR(__xludf.DUMMYFUNCTION("""COMPUTED_VALUE"""),"22CT111")</f>
        <v>22CT111</v>
      </c>
      <c r="G214" s="9" t="str">
        <f>IFERROR(__xludf.DUMMYFUNCTION("""COMPUTED_VALUE"""),"Thực hiện đồ án tốt nghiệp")</f>
        <v>Thực hiện đồ án tốt nghiệp</v>
      </c>
      <c r="H214" s="9" t="str">
        <f>IFERROR(__xludf.DUMMYFUNCTION("""COMPUTED_VALUE"""),"Nguyễn Vũ Thiên Phúc")</f>
        <v>Nguyễn Vũ Thiên Phúc</v>
      </c>
      <c r="I214" s="9"/>
      <c r="J214" s="9" t="str">
        <f>IFERROR(__xludf.DUMMYFUNCTION("""COMPUTED_VALUE"""),"Mô phỏng mạng doanh nghiệp trên Cisco Packet Tracer")</f>
        <v>Mô phỏng mạng doanh nghiệp trên Cisco Packet Tracer</v>
      </c>
      <c r="K214" s="9" t="str">
        <f>IFERROR(__xludf.DUMMYFUNCTION("""COMPUTED_VALUE"""),"Mô phỏng mạng doanh nghiệp trên Cisco Packet Tracer” hướng đến việc giúp sinh viên hiểu rõ tầm quan trọng của hạ tầng mạng trong hoạt động doanh nghiệp. Mô hình mô phỏng cho phép áp dụng lý thuyết vào thực tế, từ thiết kế VLAN, định tuyến đến triển khai d"&amp;"ịch vụ cơ bản. Qua đó, sinh viên rèn luyện kỹ năng phân tích, xử lý sự cố và tối ưu mạng. Đây là nền tảng thiết yếu để chuẩn bị cho công việc trong ngành CNTT và viễn thông.")</f>
        <v>Mô phỏng mạng doanh nghiệp trên Cisco Packet Tracer” hướng đến việc giúp sinh viên hiểu rõ tầm quan trọng của hạ tầng mạng trong hoạt động doanh nghiệp. Mô hình mô phỏng cho phép áp dụng lý thuyết vào thực tế, từ thiết kế VLAN, định tuyến đến triển khai dịch vụ cơ bản. Qua đó, sinh viên rèn luyện kỹ năng phân tích, xử lý sự cố và tối ưu mạng. Đây là nền tảng thiết yếu để chuẩn bị cho công việc trong ngành CNTT và viễn thông.</v>
      </c>
      <c r="L214" s="9" t="str">
        <f>IFERROR(__xludf.DUMMYFUNCTION("""COMPUTED_VALUE"""),"Thiết kế sơ đồ mạng doanh nghiệp: Xác định yêu cầu mạng doanh nghiệp, Vẽ sơ đồ logic mạng, Thiết kế sơ đồ vật lý trên Cisco Packet Tracer.
Cấu hình và kiểm thử: Cấu hình địa chỉ IP cho các thiết bị, Tạo và cấu hình VLAN trên switch, Thêm dịch vụ cơ bản, K"&amp;"iểm thử kết nối.
Hoàn thiện &amp; báo cáo: Tối ưu cấu hình, Viết báo cáo.")</f>
        <v>Thiết kế sơ đồ mạng doanh nghiệp: Xác định yêu cầu mạng doanh nghiệp, Vẽ sơ đồ logic mạng, Thiết kế sơ đồ vật lý trên Cisco Packet Tracer.
Cấu hình và kiểm thử: Cấu hình địa chỉ IP cho các thiết bị, Tạo và cấu hình VLAN trên switch, Thêm dịch vụ cơ bản, Kiểm thử kết nối.
Hoàn thiện &amp; báo cáo: Tối ưu cấu hình, Viết báo cáo.</v>
      </c>
      <c r="M214" s="9"/>
      <c r="N214" s="9"/>
      <c r="O214" s="9"/>
      <c r="P214" s="9"/>
      <c r="Q214" s="9" t="str">
        <f>IFERROR(__xludf.DUMMYFUNCTION("""COMPUTED_VALUE"""),"TNDHLTK22_202610515")</f>
        <v>TNDHLTK22_202610515</v>
      </c>
    </row>
    <row r="215">
      <c r="A215" s="10">
        <f>IFERROR(__xludf.DUMMYFUNCTION("""COMPUTED_VALUE"""),46025.94265265046)</f>
        <v>46025.94265</v>
      </c>
      <c r="B215" s="9" t="str">
        <f>IFERROR(__xludf.DUMMYFUNCTION("""COMPUTED_VALUE"""),"phanhoanganh268@gmail.com")</f>
        <v>phanhoanganh268@gmail.com</v>
      </c>
      <c r="C215" s="9">
        <f>IFERROR(__xludf.DUMMYFUNCTION("""COMPUTED_VALUE"""),1.22000725E8)</f>
        <v>122000725</v>
      </c>
      <c r="D215" s="9" t="str">
        <f>IFERROR(__xludf.DUMMYFUNCTION("""COMPUTED_VALUE"""),"Phan Hoàng Anh")</f>
        <v>Phan Hoàng Anh</v>
      </c>
      <c r="E215" s="9" t="str">
        <f>IFERROR(__xludf.DUMMYFUNCTION("""COMPUTED_VALUE"""),"0325949170")</f>
        <v>0325949170</v>
      </c>
      <c r="F215" s="9" t="str">
        <f>IFERROR(__xludf.DUMMYFUNCTION("""COMPUTED_VALUE"""),"22CT113")</f>
        <v>22CT113</v>
      </c>
      <c r="G215" s="9" t="str">
        <f>IFERROR(__xludf.DUMMYFUNCTION("""COMPUTED_VALUE"""),"Thực hiện đồ án tốt nghiệp")</f>
        <v>Thực hiện đồ án tốt nghiệp</v>
      </c>
      <c r="H215" s="9" t="str">
        <f>IFERROR(__xludf.DUMMYFUNCTION("""COMPUTED_VALUE"""),"Phan Mạnh Thường")</f>
        <v>Phan Mạnh Thường</v>
      </c>
      <c r="I215" s="9"/>
      <c r="J215" s="9" t="str">
        <f>IFERROR(__xludf.DUMMYFUNCTION("""COMPUTED_VALUE"""),"Xây dựng ứng dụng di động phân loại chất lượng sầu riêng Thái dựa trên hình dáng và độ chín")</f>
        <v>Xây dựng ứng dụng di động phân loại chất lượng sầu riêng Thái dựa trên hình dáng và độ chín</v>
      </c>
      <c r="K215" s="9" t="str">
        <f>IFERROR(__xludf.DUMMYFUNCTION("""COMPUTED_VALUE"""),"Phát triển công cụ giúp người tiêu dùng và tiểu thương tự phân loại sầu riêng nhanh chóng, tránh mua nhầm hàng non hoặc hàng kém chất lượng.
Ứng dụng công nghệ trí tuệ nhân tạo (YOLOv11) để nhận diện hình dáng và độ chín qua ảnh chụp.
Cung cấp trợ lý ảo ("&amp;"Chatbot AI Gemini) để tư vấn mẹo chọn quả và cách bảo quản.")</f>
        <v>Phát triển công cụ giúp người tiêu dùng và tiểu thương tự phân loại sầu riêng nhanh chóng, tránh mua nhầm hàng non hoặc hàng kém chất lượng.
Ứng dụng công nghệ trí tuệ nhân tạo (YOLOv11) để nhận diện hình dáng và độ chín qua ảnh chụp.
Cung cấp trợ lý ảo (Chatbot AI Gemini) để tư vấn mẹo chọn quả và cách bảo quản.</v>
      </c>
      <c r="L215" s="9" t="str">
        <f>IFERROR(__xludf.DUMMYFUNCTION("""COMPUTED_VALUE"""),"Thu thập dữ liệu: Xây dựng bộ ảnh thực tế về sầu riêng Thái.
Huấn luyện mô hình nhẹ: Sử dụng phiên bản YOLOv11-Nano (n) – phiên bản siêu nhẹ dành riêng cho thiết bị di động.
Lập trình ứng dụng (Frontend): Sử dụng các thư viện hỗ trợ AI on-device để thực h"&amp;"iện phân loại..
Lưu trữ dữ liệu: Sử dụng SQLite hoặc AsyncStorage để quản lý lịch sử mà không cần cơ sở dữ liệu trực tuyến.
Xử lý Chatbot: Chatbot Gemini sẽ được thiết lập ở chế độ lưu tạm (Cache) hoặc chỉ cần mạng khi người dùng cần tư vấn sâu, còn chức "&amp;"năng phân loại chính là hoàn toàn Offline.
Thử nghiệm: Kiểm tra độ chính xác của ứng dụng từ ảnh chụp")</f>
        <v>Thu thập dữ liệu: Xây dựng bộ ảnh thực tế về sầu riêng Thái.
Huấn luyện mô hình nhẹ: Sử dụng phiên bản YOLOv11-Nano (n) – phiên bản siêu nhẹ dành riêng cho thiết bị di động.
Lập trình ứng dụng (Frontend): Sử dụng các thư viện hỗ trợ AI on-device để thực hiện phân loại..
Lưu trữ dữ liệu: Sử dụng SQLite hoặc AsyncStorage để quản lý lịch sử mà không cần cơ sở dữ liệu trực tuyến.
Xử lý Chatbot: Chatbot Gemini sẽ được thiết lập ở chế độ lưu tạm (Cache) hoặc chỉ cần mạng khi người dùng cần tư vấn sâu, còn chức năng phân loại chính là hoàn toàn Offline.
Thử nghiệm: Kiểm tra độ chính xác của ứng dụng từ ảnh chụp</v>
      </c>
      <c r="M215" s="9"/>
      <c r="N215" s="9"/>
      <c r="O215" s="9"/>
      <c r="P215" s="9"/>
      <c r="Q215" s="9" t="str">
        <f>IFERROR(__xludf.DUMMYFUNCTION("""COMPUTED_VALUE"""),"TNDHLTK22_202610515")</f>
        <v>TNDHLTK22_202610515</v>
      </c>
    </row>
    <row r="216">
      <c r="A216" s="10">
        <f>IFERROR(__xludf.DUMMYFUNCTION("""COMPUTED_VALUE"""),46025.94420966435)</f>
        <v>46025.94421</v>
      </c>
      <c r="B216" s="9" t="str">
        <f>IFERROR(__xludf.DUMMYFUNCTION("""COMPUTED_VALUE"""),"phamhuuphuoc004@gmail.com")</f>
        <v>phamhuuphuoc004@gmail.com</v>
      </c>
      <c r="C216" s="9">
        <f>IFERROR(__xludf.DUMMYFUNCTION("""COMPUTED_VALUE"""),1.22001128E8)</f>
        <v>122001128</v>
      </c>
      <c r="D216" s="9" t="str">
        <f>IFERROR(__xludf.DUMMYFUNCTION("""COMPUTED_VALUE"""),"Phạm Hữu Phước")</f>
        <v>Phạm Hữu Phước</v>
      </c>
      <c r="E216" s="9" t="str">
        <f>IFERROR(__xludf.DUMMYFUNCTION("""COMPUTED_VALUE"""),"0327057313")</f>
        <v>0327057313</v>
      </c>
      <c r="F216" s="9" t="str">
        <f>IFERROR(__xludf.DUMMYFUNCTION("""COMPUTED_VALUE"""),"22ct115")</f>
        <v>22ct115</v>
      </c>
      <c r="G216" s="9" t="str">
        <f>IFERROR(__xludf.DUMMYFUNCTION("""COMPUTED_VALUE"""),"Thực hiện đồ án tốt nghiệp")</f>
        <v>Thực hiện đồ án tốt nghiệp</v>
      </c>
      <c r="H216" s="9" t="str">
        <f>IFERROR(__xludf.DUMMYFUNCTION("""COMPUTED_VALUE"""),"Bùi Thị Thu Trang")</f>
        <v>Bùi Thị Thu Trang</v>
      </c>
      <c r="I216" s="9"/>
      <c r="J216" s="9" t="str">
        <f>IFERROR(__xludf.DUMMYFUNCTION("""COMPUTED_VALUE"""),"QUẢN LÝ KHÁCH SẠN TÍCH HỢP CHATBOT AI")</f>
        <v>QUẢN LÝ KHÁCH SẠN TÍCH HỢP CHATBOT AI</v>
      </c>
      <c r="K216" s="9" t="str">
        <f>IFERROR(__xludf.DUMMYFUNCTION("""COMPUTED_VALUE"""),"QUẢN LÝ KHÁCH SẠN TÍCH HỢP CHATBOT AI")</f>
        <v>QUẢN LÝ KHÁCH SẠN TÍCH HỢP CHATBOT AI</v>
      </c>
      <c r="L216" s="9" t="str">
        <f>IFERROR(__xludf.DUMMYFUNCTION("""COMPUTED_VALUE"""),"QUẢN LÝ KHÁCH SẠN TÍCH HỢP CHATBOT AI")</f>
        <v>QUẢN LÝ KHÁCH SẠN TÍCH HỢP CHATBOT AI</v>
      </c>
      <c r="M216" s="9"/>
      <c r="N216" s="9"/>
      <c r="O216" s="9"/>
      <c r="P216" s="9"/>
      <c r="Q216" s="9" t="str">
        <f>IFERROR(__xludf.DUMMYFUNCTION("""COMPUTED_VALUE"""),"TNDHLTK22_202610515")</f>
        <v>TNDHLTK22_202610515</v>
      </c>
    </row>
    <row r="217">
      <c r="A217" s="10">
        <f>IFERROR(__xludf.DUMMYFUNCTION("""COMPUTED_VALUE"""),46025.95336472223)</f>
        <v>46025.95336</v>
      </c>
      <c r="B217" s="9" t="str">
        <f>IFERROR(__xludf.DUMMYFUNCTION("""COMPUTED_VALUE"""),"phungvananh1811@gmail.com")</f>
        <v>phungvananh1811@gmail.com</v>
      </c>
      <c r="C217" s="9">
        <f>IFERROR(__xludf.DUMMYFUNCTION("""COMPUTED_VALUE"""),1.22001123E8)</f>
        <v>122001123</v>
      </c>
      <c r="D217" s="9" t="str">
        <f>IFERROR(__xludf.DUMMYFUNCTION("""COMPUTED_VALUE"""),"Phùng Thụy Vân Anh")</f>
        <v>Phùng Thụy Vân Anh</v>
      </c>
      <c r="E217" s="9" t="str">
        <f>IFERROR(__xludf.DUMMYFUNCTION("""COMPUTED_VALUE"""),"0329711433")</f>
        <v>0329711433</v>
      </c>
      <c r="F217" s="9" t="str">
        <f>IFERROR(__xludf.DUMMYFUNCTION("""COMPUTED_VALUE"""),"22EC111")</f>
        <v>22EC111</v>
      </c>
      <c r="G217" s="9" t="str">
        <f>IFERROR(__xludf.DUMMYFUNCTION("""COMPUTED_VALUE"""),"Thực hiện đồ án tốt nghiệp")</f>
        <v>Thực hiện đồ án tốt nghiệp</v>
      </c>
      <c r="H217" s="9" t="str">
        <f>IFERROR(__xludf.DUMMYFUNCTION("""COMPUTED_VALUE"""),"Bùi Thị Thu Trang")</f>
        <v>Bùi Thị Thu Trang</v>
      </c>
      <c r="I217" s="9"/>
      <c r="J217" s="9" t="str">
        <f>IFERROR(__xludf.DUMMYFUNCTION("""COMPUTED_VALUE"""),"E-LOGISTICS quản lý và phối hợp xử lý đơn hàng")</f>
        <v>E-LOGISTICS quản lý và phối hợp xử lý đơn hàng</v>
      </c>
      <c r="K217" s="9" t="str">
        <f>IFERROR(__xludf.DUMMYFUNCTION("""COMPUTED_VALUE"""),"Đánh giá quy trình vận hành E-Logistics tại Công ty Máy tính Biên Hòa, từ đó đề xuất các giải pháp tối ưu hóa việc quản lý và phối hợp xử lý đơn hàng đa kênh nhằm giảm chi phí, rút ngắn thời gian giao hàng và nâng cao trải nghiệm khách hàng")</f>
        <v>Đánh giá quy trình vận hành E-Logistics tại Công ty Máy tính Biên Hòa, từ đó đề xuất các giải pháp tối ưu hóa việc quản lý và phối hợp xử lý đơn hàng đa kênh nhằm giảm chi phí, rút ngắn thời gian giao hàng và nâng cao trải nghiệm khách hàng</v>
      </c>
      <c r="L217" s="9" t="str">
        <f>IFERROR(__xludf.DUMMYFUNCTION("""COMPUTED_VALUE"""),"CHƯƠNG 1: TỔNG QUAN VỀ CHIẾN LƯỢC E-COMMERCE CỦA MTBH
CHƯƠNG 2: PHÂN TÍCH QUY TRÌNH PHỐI HỢP XỬ LÝ ĐƠN HÀNG HIỆN TẠI
CHƯƠNG 3: CÁC VẤN ĐỀ TỒN ĐẠI TRONG VẬN HÀNH
CHƯƠNG 4: ĐỀ XUẤT GIẢI PHÁP TỐI ƯU (E-LOGISTICS 4.0)
CHƯƠNG 5: ĐÁNH GIÁ HIỆU QUẢ VÀ KẾT LUẬN")</f>
        <v>CHƯƠNG 1: TỔNG QUAN VỀ CHIẾN LƯỢC E-COMMERCE CỦA MTBH
CHƯƠNG 2: PHÂN TÍCH QUY TRÌNH PHỐI HỢP XỬ LÝ ĐƠN HÀNG HIỆN TẠI
CHƯƠNG 3: CÁC VẤN ĐỀ TỒN ĐẠI TRONG VẬN HÀNH
CHƯƠNG 4: ĐỀ XUẤT GIẢI PHÁP TỐI ƯU (E-LOGISTICS 4.0)
CHƯƠNG 5: ĐÁNH GIÁ HIỆU QUẢ VÀ KẾT LUẬN</v>
      </c>
      <c r="M217" s="9"/>
      <c r="N217" s="9"/>
      <c r="O217" s="9"/>
      <c r="P217" s="9"/>
      <c r="Q217" s="9" t="str">
        <f>IFERROR(__xludf.DUMMYFUNCTION("""COMPUTED_VALUE"""),"TNDHLTK22_202610515")</f>
        <v>TNDHLTK22_202610515</v>
      </c>
    </row>
    <row r="218">
      <c r="A218" s="10">
        <f>IFERROR(__xludf.DUMMYFUNCTION("""COMPUTED_VALUE"""),46025.957784074075)</f>
        <v>46025.95778</v>
      </c>
      <c r="B218" s="9" t="str">
        <f>IFERROR(__xludf.DUMMYFUNCTION("""COMPUTED_VALUE"""),"vithuonghoai919@gmail.com")</f>
        <v>vithuonghoai919@gmail.com</v>
      </c>
      <c r="C218" s="9">
        <f>IFERROR(__xludf.DUMMYFUNCTION("""COMPUTED_VALUE"""),1.22000859E8)</f>
        <v>122000859</v>
      </c>
      <c r="D218" s="9" t="str">
        <f>IFERROR(__xludf.DUMMYFUNCTION("""COMPUTED_VALUE"""),"Vi Hoài Thương")</f>
        <v>Vi Hoài Thương</v>
      </c>
      <c r="E218" s="9" t="str">
        <f>IFERROR(__xludf.DUMMYFUNCTION("""COMPUTED_VALUE"""),"0919609189")</f>
        <v>0919609189</v>
      </c>
      <c r="F218" s="9" t="str">
        <f>IFERROR(__xludf.DUMMYFUNCTION("""COMPUTED_VALUE"""),"22EC111")</f>
        <v>22EC111</v>
      </c>
      <c r="G218" s="9" t="str">
        <f>IFERROR(__xludf.DUMMYFUNCTION("""COMPUTED_VALUE"""),"Đặc cách tốt nghiệp")</f>
        <v>Đặc cách tốt nghiệp</v>
      </c>
      <c r="H218" s="9"/>
      <c r="I218" s="9"/>
      <c r="J218" s="9"/>
      <c r="K218" s="9"/>
      <c r="L218" s="9"/>
      <c r="M218" s="9"/>
      <c r="N218" s="9" t="str">
        <f>IFERROR(__xludf.DUMMYFUNCTION("""COMPUTED_VALUE"""),"Được đặc cách do quán quân cuộc thi Intel")</f>
        <v>Được đặc cách do quán quân cuộc thi Intel</v>
      </c>
      <c r="O218" s="9">
        <f>IFERROR(__xludf.DUMMYFUNCTION("""COMPUTED_VALUE"""),9.0)</f>
        <v>9</v>
      </c>
      <c r="P218" s="11" t="str">
        <f>IFERROR(__xludf.DUMMYFUNCTION("""COMPUTED_VALUE"""),"https://drive.google.com/open?id=11GIiCnfgGWtD3WqmCkSmciCbh_qTeHE9")</f>
        <v>https://drive.google.com/open?id=11GIiCnfgGWtD3WqmCkSmciCbh_qTeHE9</v>
      </c>
      <c r="Q218" s="9" t="str">
        <f>IFERROR(__xludf.DUMMYFUNCTION("""COMPUTED_VALUE"""),"TNDHLTK22_202610515")</f>
        <v>TNDHLTK22_202610515</v>
      </c>
    </row>
    <row r="219">
      <c r="A219" s="10">
        <f>IFERROR(__xludf.DUMMYFUNCTION("""COMPUTED_VALUE"""),46025.960450439816)</f>
        <v>46025.96045</v>
      </c>
      <c r="B219" s="9" t="str">
        <f>IFERROR(__xludf.DUMMYFUNCTION("""COMPUTED_VALUE"""),"huynhtandu2017@gmail.com")</f>
        <v>huynhtandu2017@gmail.com</v>
      </c>
      <c r="C219" s="9">
        <f>IFERROR(__xludf.DUMMYFUNCTION("""COMPUTED_VALUE"""),1.22000549E8)</f>
        <v>122000549</v>
      </c>
      <c r="D219" s="9" t="str">
        <f>IFERROR(__xludf.DUMMYFUNCTION("""COMPUTED_VALUE"""),"Huỳnh Tấn Đức")</f>
        <v>Huỳnh Tấn Đức</v>
      </c>
      <c r="E219" s="9" t="str">
        <f>IFERROR(__xludf.DUMMYFUNCTION("""COMPUTED_VALUE"""),"0344910369")</f>
        <v>0344910369</v>
      </c>
      <c r="F219" s="9" t="str">
        <f>IFERROR(__xludf.DUMMYFUNCTION("""COMPUTED_VALUE"""),"22CT114")</f>
        <v>22CT114</v>
      </c>
      <c r="G219" s="9" t="str">
        <f>IFERROR(__xludf.DUMMYFUNCTION("""COMPUTED_VALUE"""),"Thực hiện đồ án tốt nghiệp")</f>
        <v>Thực hiện đồ án tốt nghiệp</v>
      </c>
      <c r="H219" s="9" t="str">
        <f>IFERROR(__xludf.DUMMYFUNCTION("""COMPUTED_VALUE"""),"Đoàn Thiện Minh")</f>
        <v>Đoàn Thiện Minh</v>
      </c>
      <c r="I219" s="9"/>
      <c r="J219" s="9" t="str">
        <f>IFERROR(__xludf.DUMMYFUNCTION("""COMPUTED_VALUE"""),"Phân loại trình độ sinh viên dựa trên điểm số và hành vi học tập")</f>
        <v>Phân loại trình độ sinh viên dựa trên điểm số và hành vi học tập</v>
      </c>
      <c r="K219" s="9" t="str">
        <f>IFERROR(__xludf.DUMMYFUNCTION("""COMPUTED_VALUE"""),"tạo ra hệ thống phân tích học sinh")</f>
        <v>tạo ra hệ thống phân tích học sinh</v>
      </c>
      <c r="L219" s="9" t="str">
        <f>IFERROR(__xludf.DUMMYFUNCTION("""COMPUTED_VALUE"""),"tạo ra hệ thống phân tích, phân loại,học sinh dựa trên điểm số")</f>
        <v>tạo ra hệ thống phân tích, phân loại,học sinh dựa trên điểm số</v>
      </c>
      <c r="M219" s="9"/>
      <c r="N219" s="9"/>
      <c r="O219" s="9"/>
      <c r="P219" s="9"/>
      <c r="Q219" s="9" t="str">
        <f>IFERROR(__xludf.DUMMYFUNCTION("""COMPUTED_VALUE"""),"TNDHLTK22_202610515")</f>
        <v>TNDHLTK22_202610515</v>
      </c>
    </row>
    <row r="220">
      <c r="A220" s="10">
        <f>IFERROR(__xludf.DUMMYFUNCTION("""COMPUTED_VALUE"""),46025.96081497685)</f>
        <v>46025.96081</v>
      </c>
      <c r="B220" s="9" t="str">
        <f>IFERROR(__xludf.DUMMYFUNCTION("""COMPUTED_VALUE"""),"anhdung912004@gmail.com")</f>
        <v>anhdung912004@gmail.com</v>
      </c>
      <c r="C220" s="9">
        <f>IFERROR(__xludf.DUMMYFUNCTION("""COMPUTED_VALUE"""),1.22000702E8)</f>
        <v>122000702</v>
      </c>
      <c r="D220" s="9" t="str">
        <f>IFERROR(__xludf.DUMMYFUNCTION("""COMPUTED_VALUE"""),"Lê Anh Dũng")</f>
        <v>Lê Anh Dũng</v>
      </c>
      <c r="E220" s="9" t="str">
        <f>IFERROR(__xludf.DUMMYFUNCTION("""COMPUTED_VALUE"""),"0977882934")</f>
        <v>0977882934</v>
      </c>
      <c r="F220" s="9" t="str">
        <f>IFERROR(__xludf.DUMMYFUNCTION("""COMPUTED_VALUE"""),"22ct115")</f>
        <v>22ct115</v>
      </c>
      <c r="G220" s="9" t="str">
        <f>IFERROR(__xludf.DUMMYFUNCTION("""COMPUTED_VALUE"""),"Thực hiện đồ án tốt nghiệp")</f>
        <v>Thực hiện đồ án tốt nghiệp</v>
      </c>
      <c r="H220" s="9" t="str">
        <f>IFERROR(__xludf.DUMMYFUNCTION("""COMPUTED_VALUE"""),"Bùi Thị Thu Trang")</f>
        <v>Bùi Thị Thu Trang</v>
      </c>
      <c r="I220" s="9"/>
      <c r="J220" s="9" t="str">
        <f>IFERROR(__xludf.DUMMYFUNCTION("""COMPUTED_VALUE"""),"Web Thương Mại Điện tử")</f>
        <v>Web Thương Mại Điện tử</v>
      </c>
      <c r="K220" s="9" t="str">
        <f>IFERROR(__xludf.DUMMYFUNCTION("""COMPUTED_VALUE"""),"tập trung vào việc ứng dụng kiến thức học được để tạo ra giá trị thực tế như phát triển ý tưởng kinh doanh online, tiếp thị số, quản trị đơn hàng, xây dựng thương hiệu, và tạo ra trải nghiệm mua sắm tiện lợi cho khách hàng, nhằm chuyển đổi khách truy cập "&amp;"thành người mua hàng, qua đó phát triển kinh doanh bền vững. ")</f>
        <v>tập trung vào việc ứng dụng kiến thức học được để tạo ra giá trị thực tế như phát triển ý tưởng kinh doanh online, tiếp thị số, quản trị đơn hàng, xây dựng thương hiệu, và tạo ra trải nghiệm mua sắm tiện lợi cho khách hàng, nhằm chuyển đổi khách truy cập thành người mua hàng, qua đó phát triển kinh doanh bền vững. </v>
      </c>
      <c r="L220" s="9" t="str">
        <f>IFERROR(__xludf.DUMMYFUNCTION("""COMPUTED_VALUE"""),"bao gồm Giới thiệu đề tài/dự án (mục tiêu, tính cấp thiết), Phân tích thị trường &amp; đối thủ, Thiết kế và phát triển website (cấu trúc, chức năng), Chiến lược Marketing Online (SEO, Social Media, Email Marketing), Mô hình kinh doanh (Doanh thu, chi phí), Kế"&amp;" hoạch triển khai &amp; đánh giá (KPIs), và cuối cùng là Kết luận &amp; Hướng phát triển, với ngôn ngữ rõ ràng, tập trung vào tính ứng dụng và đóng góp học thuật")</f>
        <v>bao gồm Giới thiệu đề tài/dự án (mục tiêu, tính cấp thiết), Phân tích thị trường &amp; đối thủ, Thiết kế và phát triển website (cấu trúc, chức năng), Chiến lược Marketing Online (SEO, Social Media, Email Marketing), Mô hình kinh doanh (Doanh thu, chi phí), Kế hoạch triển khai &amp; đánh giá (KPIs), và cuối cùng là Kết luận &amp; Hướng phát triển, với ngôn ngữ rõ ràng, tập trung vào tính ứng dụng và đóng góp học thuật</v>
      </c>
      <c r="M220" s="9"/>
      <c r="N220" s="9"/>
      <c r="O220" s="9"/>
      <c r="P220" s="9"/>
      <c r="Q220" s="9" t="str">
        <f>IFERROR(__xludf.DUMMYFUNCTION("""COMPUTED_VALUE"""),"TNDHLTK22_202610515")</f>
        <v>TNDHLTK22_202610515</v>
      </c>
    </row>
    <row r="221">
      <c r="A221" s="10">
        <f>IFERROR(__xludf.DUMMYFUNCTION("""COMPUTED_VALUE"""),46025.963259571756)</f>
        <v>46025.96326</v>
      </c>
      <c r="B221" s="9" t="str">
        <f>IFERROR(__xludf.DUMMYFUNCTION("""COMPUTED_VALUE"""),"lminhnguyet547@gmail.com")</f>
        <v>lminhnguyet547@gmail.com</v>
      </c>
      <c r="C221" s="9">
        <f>IFERROR(__xludf.DUMMYFUNCTION("""COMPUTED_VALUE"""),1.22001043E8)</f>
        <v>122001043</v>
      </c>
      <c r="D221" s="9" t="str">
        <f>IFERROR(__xludf.DUMMYFUNCTION("""COMPUTED_VALUE"""),"Lê Thị Minh Nguyệt")</f>
        <v>Lê Thị Minh Nguyệt</v>
      </c>
      <c r="E221" s="9" t="str">
        <f>IFERROR(__xludf.DUMMYFUNCTION("""COMPUTED_VALUE"""),"0338208209")</f>
        <v>0338208209</v>
      </c>
      <c r="F221" s="9" t="str">
        <f>IFERROR(__xludf.DUMMYFUNCTION("""COMPUTED_VALUE"""),"22EC111")</f>
        <v>22EC111</v>
      </c>
      <c r="G221" s="9" t="str">
        <f>IFERROR(__xludf.DUMMYFUNCTION("""COMPUTED_VALUE"""),"Thực hiện đồ án tốt nghiệp")</f>
        <v>Thực hiện đồ án tốt nghiệp</v>
      </c>
      <c r="H221" s="9" t="str">
        <f>IFERROR(__xludf.DUMMYFUNCTION("""COMPUTED_VALUE"""),"Hồ Ngọc Hoàng Long")</f>
        <v>Hồ Ngọc Hoàng Long</v>
      </c>
      <c r="I221" s="9"/>
      <c r="J221" s="9" t="str">
        <f>IFERROR(__xludf.DUMMYFUNCTION("""COMPUTED_VALUE"""),"Bán hàng online")</f>
        <v>Bán hàng online</v>
      </c>
      <c r="K221" s="9" t="str">
        <f>IFERROR(__xludf.DUMMYFUNCTION("""COMPUTED_VALUE"""),"Ra Trường")</f>
        <v>Ra Trường</v>
      </c>
      <c r="L221" s="9" t="str">
        <f>IFERROR(__xludf.DUMMYFUNCTION("""COMPUTED_VALUE"""),"Bán sản phẩm trên sàn TMĐT")</f>
        <v>Bán sản phẩm trên sàn TMĐT</v>
      </c>
      <c r="M221" s="9"/>
      <c r="N221" s="9"/>
      <c r="O221" s="9"/>
      <c r="P221" s="9"/>
      <c r="Q221" s="9" t="str">
        <f>IFERROR(__xludf.DUMMYFUNCTION("""COMPUTED_VALUE"""),"TNDHLTK22_202610515")</f>
        <v>TNDHLTK22_202610515</v>
      </c>
    </row>
    <row r="222">
      <c r="A222" s="10">
        <f>IFERROR(__xludf.DUMMYFUNCTION("""COMPUTED_VALUE"""),46025.96991688658)</f>
        <v>46025.96992</v>
      </c>
      <c r="B222" s="9" t="str">
        <f>IFERROR(__xludf.DUMMYFUNCTION("""COMPUTED_VALUE"""),"phuongngan12335@gmail.com")</f>
        <v>phuongngan12335@gmail.com</v>
      </c>
      <c r="C222" s="9">
        <f>IFERROR(__xludf.DUMMYFUNCTION("""COMPUTED_VALUE"""),1.22000406E8)</f>
        <v>122000406</v>
      </c>
      <c r="D222" s="9" t="str">
        <f>IFERROR(__xludf.DUMMYFUNCTION("""COMPUTED_VALUE"""),"Nguyễn Hoàng Phương Ngân")</f>
        <v>Nguyễn Hoàng Phương Ngân</v>
      </c>
      <c r="E222" s="9" t="str">
        <f>IFERROR(__xludf.DUMMYFUNCTION("""COMPUTED_VALUE"""),"0798120504")</f>
        <v>0798120504</v>
      </c>
      <c r="F222" s="9" t="str">
        <f>IFERROR(__xludf.DUMMYFUNCTION("""COMPUTED_VALUE"""),"22EC111")</f>
        <v>22EC111</v>
      </c>
      <c r="G222" s="9" t="str">
        <f>IFERROR(__xludf.DUMMYFUNCTION("""COMPUTED_VALUE"""),"Thực hiện đồ án tốt nghiệp")</f>
        <v>Thực hiện đồ án tốt nghiệp</v>
      </c>
      <c r="H222" s="9" t="str">
        <f>IFERROR(__xludf.DUMMYFUNCTION("""COMPUTED_VALUE"""),"Hồ Ngọc Hoàng Long")</f>
        <v>Hồ Ngọc Hoàng Long</v>
      </c>
      <c r="I222" s="9"/>
      <c r="J222" s="9" t="str">
        <f>IFERROR(__xludf.DUMMYFUNCTION("""COMPUTED_VALUE"""),"Xây dựng mô hình kinh doanh thương mại điện tử cho hoạt động phân phối dịch vụ số tại Trung tâm Kinh doanh VNPT Biên hoà ")</f>
        <v>Xây dựng mô hình kinh doanh thương mại điện tử cho hoạt động phân phối dịch vụ số tại Trung tâm Kinh doanh VNPT Biên hoà </v>
      </c>
      <c r="K222" s="9" t="str">
        <f>IFERROR(__xludf.DUMMYFUNCTION("""COMPUTED_VALUE"""),"Xây dựng mô hình kinh doanh thương mại điện tử cho hoạt động phân phối dịch vụ chữ ký số Smart CA tại Trung tâm Kinh doanh VNPT Biên Hòa, nhằm mở rộng kênh bán hàng trực tuyến, tiếp cận khách hàng hiệu quả và nâng cao hiệu quả kinh doanh dịch vụ số.")</f>
        <v>Xây dựng mô hình kinh doanh thương mại điện tử cho hoạt động phân phối dịch vụ chữ ký số Smart CA tại Trung tâm Kinh doanh VNPT Biên Hòa, nhằm mở rộng kênh bán hàng trực tuyến, tiếp cận khách hàng hiệu quả và nâng cao hiệu quả kinh doanh dịch vụ số.</v>
      </c>
      <c r="L222" s="9" t="str">
        <f>IFERROR(__xludf.DUMMYFUNCTION("""COMPUTED_VALUE"""),"Nghiên cứu cơ sở lý luận về thương mại điện tử và mô hình kinh doanh dịch vụ số.
- Phân tích thực trạng hoạt động phân phối dịch vụ chữ ký số Smart CA tại Trung tâm Kinh doanh VNPT Biên Hòa.
- Xác định khách hàng mục tiêu, kênh bán hàng online và quy trìn"&amp;"h cung cấp dịch vụ Smart CA trên nền tảng thương mại điện tử.
- Xây dựng mô hình kinh doanh thương mại điện tử cho dịch vụ Smart CA.
- Đề xuất kế hoạch triển khai, chỉ tiêu KPI và các giải pháp nâng cao hiệu quả phân phối dịch vụ.")</f>
        <v>Nghiên cứu cơ sở lý luận về thương mại điện tử và mô hình kinh doanh dịch vụ số.
- Phân tích thực trạng hoạt động phân phối dịch vụ chữ ký số Smart CA tại Trung tâm Kinh doanh VNPT Biên Hòa.
- Xác định khách hàng mục tiêu, kênh bán hàng online và quy trình cung cấp dịch vụ Smart CA trên nền tảng thương mại điện tử.
- Xây dựng mô hình kinh doanh thương mại điện tử cho dịch vụ Smart CA.
- Đề xuất kế hoạch triển khai, chỉ tiêu KPI và các giải pháp nâng cao hiệu quả phân phối dịch vụ.</v>
      </c>
      <c r="M222" s="9"/>
      <c r="N222" s="9"/>
      <c r="O222" s="9"/>
      <c r="P222" s="9"/>
      <c r="Q222" s="9" t="str">
        <f>IFERROR(__xludf.DUMMYFUNCTION("""COMPUTED_VALUE"""),"TNDHLTK22_202610515")</f>
        <v>TNDHLTK22_202610515</v>
      </c>
    </row>
    <row r="223">
      <c r="A223" s="10">
        <f>IFERROR(__xludf.DUMMYFUNCTION("""COMPUTED_VALUE"""),46025.97393796296)</f>
        <v>46025.97394</v>
      </c>
      <c r="B223" s="9" t="str">
        <f>IFERROR(__xludf.DUMMYFUNCTION("""COMPUTED_VALUE"""),"phamtrikhiem2524@gmail.com")</f>
        <v>phamtrikhiem2524@gmail.com</v>
      </c>
      <c r="C223" s="9">
        <f>IFERROR(__xludf.DUMMYFUNCTION("""COMPUTED_VALUE"""),1.22001394E8)</f>
        <v>122001394</v>
      </c>
      <c r="D223" s="9" t="str">
        <f>IFERROR(__xludf.DUMMYFUNCTION("""COMPUTED_VALUE"""),"Phạm Trí Khiêm")</f>
        <v>Phạm Trí Khiêm</v>
      </c>
      <c r="E223" s="9" t="str">
        <f>IFERROR(__xludf.DUMMYFUNCTION("""COMPUTED_VALUE"""),"0848993079")</f>
        <v>0848993079</v>
      </c>
      <c r="F223" s="9" t="str">
        <f>IFERROR(__xludf.DUMMYFUNCTION("""COMPUTED_VALUE"""),"22CT115")</f>
        <v>22CT115</v>
      </c>
      <c r="G223" s="9" t="str">
        <f>IFERROR(__xludf.DUMMYFUNCTION("""COMPUTED_VALUE"""),"Đặc cách tốt nghiệp")</f>
        <v>Đặc cách tốt nghiệp</v>
      </c>
      <c r="H223" s="9"/>
      <c r="I223" s="9"/>
      <c r="J223" s="9"/>
      <c r="K223" s="9"/>
      <c r="L223" s="9"/>
      <c r="M223" s="9"/>
      <c r="N223" s="9" t="str">
        <f>IFERROR(__xludf.DUMMYFUNCTION("""COMPUTED_VALUE"""),"Tham gia cuộc thi Robocon 2025")</f>
        <v>Tham gia cuộc thi Robocon 2025</v>
      </c>
      <c r="O223" s="9">
        <f>IFERROR(__xludf.DUMMYFUNCTION("""COMPUTED_VALUE"""),10.0)</f>
        <v>10</v>
      </c>
      <c r="P223" s="11" t="str">
        <f>IFERROR(__xludf.DUMMYFUNCTION("""COMPUTED_VALUE"""),"https://drive.google.com/open?id=15E7mjxMlA41tq4dkK9KeF_XAONty9fen")</f>
        <v>https://drive.google.com/open?id=15E7mjxMlA41tq4dkK9KeF_XAONty9fen</v>
      </c>
      <c r="Q223" s="9" t="str">
        <f>IFERROR(__xludf.DUMMYFUNCTION("""COMPUTED_VALUE"""),"TNDHLTK22_202610515")</f>
        <v>TNDHLTK22_202610515</v>
      </c>
    </row>
    <row r="224">
      <c r="A224" s="10">
        <f>IFERROR(__xludf.DUMMYFUNCTION("""COMPUTED_VALUE"""),46025.97515155093)</f>
        <v>46025.97515</v>
      </c>
      <c r="B224" s="9" t="str">
        <f>IFERROR(__xludf.DUMMYFUNCTION("""COMPUTED_VALUE"""),"03022004khang@gmail.com")</f>
        <v>03022004khang@gmail.com</v>
      </c>
      <c r="C224" s="9">
        <f>IFERROR(__xludf.DUMMYFUNCTION("""COMPUTED_VALUE"""),1.22000338E8)</f>
        <v>122000338</v>
      </c>
      <c r="D224" s="9" t="str">
        <f>IFERROR(__xludf.DUMMYFUNCTION("""COMPUTED_VALUE"""),"Đặng Trần Nguyên Khang")</f>
        <v>Đặng Trần Nguyên Khang</v>
      </c>
      <c r="E224" s="9" t="str">
        <f>IFERROR(__xludf.DUMMYFUNCTION("""COMPUTED_VALUE"""),"0359208596")</f>
        <v>0359208596</v>
      </c>
      <c r="F224" s="9" t="str">
        <f>IFERROR(__xludf.DUMMYFUNCTION("""COMPUTED_VALUE"""),"22CT113")</f>
        <v>22CT113</v>
      </c>
      <c r="G224" s="9" t="str">
        <f>IFERROR(__xludf.DUMMYFUNCTION("""COMPUTED_VALUE"""),"Thực hiện đồ án tốt nghiệp")</f>
        <v>Thực hiện đồ án tốt nghiệp</v>
      </c>
      <c r="H224" s="9" t="str">
        <f>IFERROR(__xludf.DUMMYFUNCTION("""COMPUTED_VALUE"""),"Phan Mạnh Thường")</f>
        <v>Phan Mạnh Thường</v>
      </c>
      <c r="I224" s="9"/>
      <c r="J224" s="9" t="str">
        <f>IFERROR(__xludf.DUMMYFUNCTION("""COMPUTED_VALUE"""),"Xây dựng công cụ phát hiện đạo văn và kiểm tra độ trùng lặp văn bản tiếng Việt")</f>
        <v>Xây dựng công cụ phát hiện đạo văn và kiểm tra độ trùng lặp văn bản tiếng Việt</v>
      </c>
      <c r="K224" s="9" t="str">
        <f>IFERROR(__xludf.DUMMYFUNCTION("""COMPUTED_VALUE"""),"** Mục tiêu 1: Xây dựng vector database các luận văn đồ án tốt nghiệp trước đây của Khoa CNTT và các nguồn khác
** Mục tiêu 2: Phát triển hoặc sử dụng công cụ nhúng văn bản tiếng (Vietnamese Sentence Embeddings) để hỗ trợ tìm kiếm tương đồng văn bản.
**"&amp;" Mục tiêu 3: vận dụng AI để phân tích và phát hiện việc ""xào bài"" (Paraphrasing - thay đổi câu từ nhưng giữ nguyên ý).")</f>
        <v>** Mục tiêu 1: Xây dựng vector database các luận văn đồ án tốt nghiệp trước đây của Khoa CNTT và các nguồn khác
** Mục tiêu 2: Phát triển hoặc sử dụng công cụ nhúng văn bản tiếng (Vietnamese Sentence Embeddings) để hỗ trợ tìm kiếm tương đồng văn bản.
** Mục tiêu 3: vận dụng AI để phân tích và phát hiện việc "xào bài" (Paraphrasing - thay đổi câu từ nhưng giữ nguyên ý).</v>
      </c>
      <c r="L224" s="9" t="str">
        <f>IFERROR(__xludf.DUMMYFUNCTION("""COMPUTED_VALUE"""),"Xây dựng hệ thống so khớp văn bản. Ngoài việc so sánh chuỗi (String matching), sử dụng AI để phát hiện việc ""xào bài"" (Paraphrasing - thay đổi câu từ nhưng giữ nguyên ý).")</f>
        <v>Xây dựng hệ thống so khớp văn bản. Ngoài việc so sánh chuỗi (String matching), sử dụng AI để phát hiện việc "xào bài" (Paraphrasing - thay đổi câu từ nhưng giữ nguyên ý).</v>
      </c>
      <c r="M224" s="9"/>
      <c r="N224" s="9"/>
      <c r="O224" s="9"/>
      <c r="P224" s="9"/>
      <c r="Q224" s="9" t="str">
        <f>IFERROR(__xludf.DUMMYFUNCTION("""COMPUTED_VALUE"""),"TNDHLTK22_202610515")</f>
        <v>TNDHLTK22_202610515</v>
      </c>
    </row>
    <row r="225">
      <c r="A225" s="10">
        <f>IFERROR(__xludf.DUMMYFUNCTION("""COMPUTED_VALUE"""),46025.97662659722)</f>
        <v>46025.97663</v>
      </c>
      <c r="B225" s="9" t="str">
        <f>IFERROR(__xludf.DUMMYFUNCTION("""COMPUTED_VALUE"""),"07.nguyenkduy.12a3@gmail.com")</f>
        <v>07.nguyenkduy.12a3@gmail.com</v>
      </c>
      <c r="C225" s="9">
        <f>IFERROR(__xludf.DUMMYFUNCTION("""COMPUTED_VALUE"""),1.22000821E8)</f>
        <v>122000821</v>
      </c>
      <c r="D225" s="9" t="str">
        <f>IFERROR(__xludf.DUMMYFUNCTION("""COMPUTED_VALUE"""),"Nguyễn Khánh Duy")</f>
        <v>Nguyễn Khánh Duy</v>
      </c>
      <c r="E225" s="9" t="str">
        <f>IFERROR(__xludf.DUMMYFUNCTION("""COMPUTED_VALUE"""),"0963047160")</f>
        <v>0963047160</v>
      </c>
      <c r="F225" s="9" t="str">
        <f>IFERROR(__xludf.DUMMYFUNCTION("""COMPUTED_VALUE"""),"22CT113")</f>
        <v>22CT113</v>
      </c>
      <c r="G225" s="9" t="str">
        <f>IFERROR(__xludf.DUMMYFUNCTION("""COMPUTED_VALUE"""),"Thực hiện đồ án tốt nghiệp")</f>
        <v>Thực hiện đồ án tốt nghiệp</v>
      </c>
      <c r="H225" s="9" t="str">
        <f>IFERROR(__xludf.DUMMYFUNCTION("""COMPUTED_VALUE"""),"Phan Mạnh Thường")</f>
        <v>Phan Mạnh Thường</v>
      </c>
      <c r="I225" s="9" t="str">
        <f>IFERROR(__xludf.DUMMYFUNCTION("""COMPUTED_VALUE"""),"Phan Mạnh Thường")</f>
        <v>Phan Mạnh Thường</v>
      </c>
      <c r="J225" s="9" t="str">
        <f>IFERROR(__xludf.DUMMYFUNCTION("""COMPUTED_VALUE"""),"Xây dựng công cụ phát hiện đạo văn và kiểm tra độ trùng lặp văn bản tiếng Việt")</f>
        <v>Xây dựng công cụ phát hiện đạo văn và kiểm tra độ trùng lặp văn bản tiếng Việt</v>
      </c>
      <c r="K225" s="9" t="str">
        <f>IFERROR(__xludf.DUMMYFUNCTION("""COMPUTED_VALUE"""),"Mục tiêu 1: Xây dựng vector database các luận văn đồ án tốt nghiệp trước đây của Khoa CNTT và các nguồn khác
Mục tiêu 2: Phát triển hoặc sử dụng công cụ nhúng văn bản tiếng (Vietnamese Sentence Embeddings) để hỗ trợ tìm kiếm tương đồng văn bản.
Mục tiêu 3"&amp;": vận dụng AI để phân tích và phát hiện việc ""xào bài"" (Paraphrasing - thay đổi câu từ nhưng giữ nguyên ý).
")</f>
        <v>Mục tiêu 1: Xây dựng vector database các luận văn đồ án tốt nghiệp trước đây của Khoa CNTT và các nguồn khác
Mục tiêu 2: Phát triển hoặc sử dụng công cụ nhúng văn bản tiếng (Vietnamese Sentence Embeddings) để hỗ trợ tìm kiếm tương đồng văn bản.
Mục tiêu 3: vận dụng AI để phân tích và phát hiện việc "xào bài" (Paraphrasing - thay đổi câu từ nhưng giữ nguyên ý).
</v>
      </c>
      <c r="L225" s="9" t="str">
        <f>IFERROR(__xludf.DUMMYFUNCTION("""COMPUTED_VALUE"""),"Xây dựng hệ thống so khớp văn bản. Ngoài việc so sánh chuỗi (String matching), sử dụng AI để phát hiện việc ""xào bài"" (Paraphrasing - thay đổi câu từ nhưng giữ nguyên ý).")</f>
        <v>Xây dựng hệ thống so khớp văn bản. Ngoài việc so sánh chuỗi (String matching), sử dụng AI để phát hiện việc "xào bài" (Paraphrasing - thay đổi câu từ nhưng giữ nguyên ý).</v>
      </c>
      <c r="M225" s="9"/>
      <c r="N225" s="9"/>
      <c r="O225" s="9"/>
      <c r="P225" s="9"/>
      <c r="Q225" s="9" t="str">
        <f>IFERROR(__xludf.DUMMYFUNCTION("""COMPUTED_VALUE"""),"TNDHLTK22_202610515")</f>
        <v>TNDHLTK22_202610515</v>
      </c>
    </row>
    <row r="226">
      <c r="A226" s="10">
        <f>IFERROR(__xludf.DUMMYFUNCTION("""COMPUTED_VALUE"""),46025.99483603009)</f>
        <v>46025.99484</v>
      </c>
      <c r="B226" s="9" t="str">
        <f>IFERROR(__xludf.DUMMYFUNCTION("""COMPUTED_VALUE"""),"nguyenhieuthinh01011991@gmail.com")</f>
        <v>nguyenhieuthinh01011991@gmail.com</v>
      </c>
      <c r="C226" s="9">
        <f>IFERROR(__xludf.DUMMYFUNCTION("""COMPUTED_VALUE"""),1.22001425E8)</f>
        <v>122001425</v>
      </c>
      <c r="D226" s="9" t="str">
        <f>IFERROR(__xludf.DUMMYFUNCTION("""COMPUTED_VALUE"""),"Nguyễn Hiếu Thịnh")</f>
        <v>Nguyễn Hiếu Thịnh</v>
      </c>
      <c r="E226" s="9" t="str">
        <f>IFERROR(__xludf.DUMMYFUNCTION("""COMPUTED_VALUE"""),"0969206761")</f>
        <v>0969206761</v>
      </c>
      <c r="F226" s="9" t="str">
        <f>IFERROR(__xludf.DUMMYFUNCTION("""COMPUTED_VALUE"""),"22CT115")</f>
        <v>22CT115</v>
      </c>
      <c r="G226" s="9" t="str">
        <f>IFERROR(__xludf.DUMMYFUNCTION("""COMPUTED_VALUE"""),"Thực hiện đồ án tốt nghiệp")</f>
        <v>Thực hiện đồ án tốt nghiệp</v>
      </c>
      <c r="H226" s="9" t="str">
        <f>IFERROR(__xludf.DUMMYFUNCTION("""COMPUTED_VALUE"""),"Phan Thị Hường")</f>
        <v>Phan Thị Hường</v>
      </c>
      <c r="I226" s="9"/>
      <c r="J226" s="9" t="str">
        <f>IFERROR(__xludf.DUMMYFUNCTION("""COMPUTED_VALUE"""),"Xây dựng game 2D RPG góc nhìn Top-down")</f>
        <v>Xây dựng game 2D RPG góc nhìn Top-down</v>
      </c>
      <c r="K226" s="9" t="str">
        <f>IFERROR(__xludf.DUMMYFUNCTION("""COMPUTED_VALUE"""),"Xây dựng một tựa game 2D RPG góc nhìn top-down, trong đó người chơi điều khiển nhân vật khám phá bản đồ, tương tác với NPC, thực hiện nhiệm vụ và tham gia chiến đấu, nhằm áp dụng các kiến thức về lập trình game, thiết kế gameplay trong quá trình phát triể"&amp;"n sản phẩm game hoàn chỉnh.")</f>
        <v>Xây dựng một tựa game 2D RPG góc nhìn top-down, trong đó người chơi điều khiển nhân vật khám phá bản đồ, tương tác với NPC, thực hiện nhiệm vụ và tham gia chiến đấu, nhằm áp dụng các kiến thức về lập trình game, thiết kế gameplay trong quá trình phát triển sản phẩm game hoàn chỉnh.</v>
      </c>
      <c r="L226" s="9" t="str">
        <f>IFERROR(__xludf.DUMMYFUNCTION("""COMPUTED_VALUE"""),"Tuần 1 – Khảo sát &amp; xác định yêu cầu
Nghiên cứu các game 2D RPG top-down tiêu biểu.
Xác định phạm vi đề tài, đối tượng người chơi.
Tuần 2 – Thiết kế tổng thể
Thiết kế gameplay tổng quan.
Vẽ sơ đồ kiến trúc game.
Xây dựng Use Case Diagram.
Tuần 3 – Thiết"&amp;" kế dữ liệu &amp; bản đồ
Thiết kế hệ thống nhân vật (player, NPC, enemy).
Thiết kế bản đồ.
Xây dựng sơ đồ Class Diagram.
Chuẩn bị asset cơ bản.
Tuần 4 – Xây dựng hệ thống di chuyển
Lập trình di chuyển nhân vật top-down.
Xử lý va chạm.
Camera theo nhân vật.
"&amp;"Tuần 5 – Hệ thống bản đồ &amp; tương tác
Load bản đồ từ tilemap.
Xử lý vật cản, vùng tương tác.
Tương tác với môi trường.
Tuần 6 – Hệ thống NPC &amp; hội thoại
Lập trình NPC.
Hệ thống hội thoại
Tuần 7-9 – Hệ thống chiến đấu
Xây dựng hệ thống chiến đấu:
Xử lý ch"&amp;"ỉ số (HP, ATK, DEF).
Test cân bằng cơ bản.
Tuần 10 – Giao diện &amp; trải nghiệm người dùng
Menu chính, menu pause.
Hoàn thiện UI/UX.
Tuần 11 – Hoàn thiện &amp; kiểm thử
Fix bug.
Tối ưu hiệu năng cơ bản.
Kiểm thử gameplay.
Hoàn thiện nội dung game.
Tuần 12 – Đ"&amp;"ánh giá &amp; báo cáo
Đóng gói sản phẩm (build game).
Viết báo cáo tổng kết.
Đánh giá kết quả đạt được.
Đề xuất hướng phát triển tiếp theo.")</f>
        <v>Tuần 1 – Khảo sát &amp; xác định yêu cầu
Nghiên cứu các game 2D RPG top-down tiêu biểu.
Xác định phạm vi đề tài, đối tượng người chơi.
Tuần 2 – Thiết kế tổng thể
Thiết kế gameplay tổng quan.
Vẽ sơ đồ kiến trúc game.
Xây dựng Use Case Diagram.
Tuần 3 – Thiết kế dữ liệu &amp; bản đồ
Thiết kế hệ thống nhân vật (player, NPC, enemy).
Thiết kế bản đồ.
Xây dựng sơ đồ Class Diagram.
Chuẩn bị asset cơ bản.
Tuần 4 – Xây dựng hệ thống di chuyển
Lập trình di chuyển nhân vật top-down.
Xử lý va chạm.
Camera theo nhân vật.
Tuần 5 – Hệ thống bản đồ &amp; tương tác
Load bản đồ từ tilemap.
Xử lý vật cản, vùng tương tác.
Tương tác với môi trường.
Tuần 6 – Hệ thống NPC &amp; hội thoại
Lập trình NPC.
Hệ thống hội thoại
Tuần 7-9 – Hệ thống chiến đấu
Xây dựng hệ thống chiến đấu:
Xử lý chỉ số (HP, ATK, DEF).
Test cân bằng cơ bản.
Tuần 10 – Giao diện &amp; trải nghiệm người dùng
Menu chính, menu pause.
Hoàn thiện UI/UX.
Tuần 11 – Hoàn thiện &amp; kiểm thử
Fix bug.
Tối ưu hiệu năng cơ bản.
Kiểm thử gameplay.
Hoàn thiện nội dung game.
Tuần 12 – Đánh giá &amp; báo cáo
Đóng gói sản phẩm (build game).
Viết báo cáo tổng kết.
Đánh giá kết quả đạt được.
Đề xuất hướng phát triển tiếp theo.</v>
      </c>
      <c r="M226" s="9"/>
      <c r="N226" s="9"/>
      <c r="O226" s="9"/>
      <c r="P226" s="9"/>
      <c r="Q226" s="9" t="str">
        <f>IFERROR(__xludf.DUMMYFUNCTION("""COMPUTED_VALUE"""),"TNDHLTK22_202610515")</f>
        <v>TNDHLTK22_202610515</v>
      </c>
    </row>
    <row r="227">
      <c r="A227" s="10">
        <f>IFERROR(__xludf.DUMMYFUNCTION("""COMPUTED_VALUE"""),46026.06737148148)</f>
        <v>46026.06737</v>
      </c>
      <c r="B227" s="9" t="str">
        <f>IFERROR(__xludf.DUMMYFUNCTION("""COMPUTED_VALUE"""),"phunghy23567@gmail.com")</f>
        <v>phunghy23567@gmail.com</v>
      </c>
      <c r="C227" s="9">
        <f>IFERROR(__xludf.DUMMYFUNCTION("""COMPUTED_VALUE"""),1.22000309E8)</f>
        <v>122000309</v>
      </c>
      <c r="D227" s="9" t="str">
        <f>IFERROR(__xludf.DUMMYFUNCTION("""COMPUTED_VALUE"""),"Nguyễn Lê Hoàng")</f>
        <v>Nguyễn Lê Hoàng</v>
      </c>
      <c r="E227" s="9">
        <f>IFERROR(__xludf.DUMMYFUNCTION("""COMPUTED_VALUE"""),8.79057312E8)</f>
        <v>879057312</v>
      </c>
      <c r="F227" s="9" t="str">
        <f>IFERROR(__xludf.DUMMYFUNCTION("""COMPUTED_VALUE"""),"22CT113")</f>
        <v>22CT113</v>
      </c>
      <c r="G227" s="9" t="str">
        <f>IFERROR(__xludf.DUMMYFUNCTION("""COMPUTED_VALUE"""),"Thực hiện đồ án tốt nghiệp")</f>
        <v>Thực hiện đồ án tốt nghiệp</v>
      </c>
      <c r="H227" s="9" t="str">
        <f>IFERROR(__xludf.DUMMYFUNCTION("""COMPUTED_VALUE"""),"Phan Mạnh Thường")</f>
        <v>Phan Mạnh Thường</v>
      </c>
      <c r="I227" s="9" t="str">
        <f>IFERROR(__xludf.DUMMYFUNCTION("""COMPUTED_VALUE"""),"Phan Mạnh Thường")</f>
        <v>Phan Mạnh Thường</v>
      </c>
      <c r="J227" s="9" t="str">
        <f>IFERROR(__xludf.DUMMYFUNCTION("""COMPUTED_VALUE"""),"Xây dựng ứng dụng hỗ trợ trẻ tự kỷ/chậm nói học qua hình ảnh (AAC App)")</f>
        <v>Xây dựng ứng dụng hỗ trợ trẻ tự kỷ/chậm nói học qua hình ảnh (AAC App)</v>
      </c>
      <c r="K227" s="9" t="str">
        <f>IFERROR(__xludf.DUMMYFUNCTION("""COMPUTED_VALUE"""),"Xây dựng một ứng dụng di động (Mobile App) đóng vai trò là công cụ giao tiếp thay thế (AAC - Augmentative and Alternative Communication), giúp trẻ gặp khó khăn về ngôn ngữ có thể biểu đạt nhu cầu, suy nghĩ và tương tác với người xung quanh thông qua hình "&amp;"ảnh và âm thanh.")</f>
        <v>Xây dựng một ứng dụng di động (Mobile App) đóng vai trò là công cụ giao tiếp thay thế (AAC - Augmentative and Alternative Communication), giúp trẻ gặp khó khăn về ngôn ngữ có thể biểu đạt nhu cầu, suy nghĩ và tương tác với người xung quanh thông qua hình ảnh và âm thanh.</v>
      </c>
      <c r="L227" s="9" t="str">
        <f>IFERROR(__xludf.DUMMYFUNCTION("""COMPUTED_VALUE"""),"sẽ làm app băng react native hoặc flutter")</f>
        <v>sẽ làm app băng react native hoặc flutter</v>
      </c>
      <c r="M227" s="9"/>
      <c r="N227" s="9"/>
      <c r="O227" s="9"/>
      <c r="P227" s="9"/>
      <c r="Q227" s="9" t="str">
        <f>IFERROR(__xludf.DUMMYFUNCTION("""COMPUTED_VALUE"""),"TNDHLTK22_202610515")</f>
        <v>TNDHLTK22_202610515</v>
      </c>
    </row>
    <row r="228">
      <c r="A228" s="10">
        <f>IFERROR(__xludf.DUMMYFUNCTION("""COMPUTED_VALUE"""),46026.07841577547)</f>
        <v>46026.07842</v>
      </c>
      <c r="B228" s="9" t="str">
        <f>IFERROR(__xludf.DUMMYFUNCTION("""COMPUTED_VALUE"""),"lammanh2004lhu@gmail.com")</f>
        <v>lammanh2004lhu@gmail.com</v>
      </c>
      <c r="C228" s="9">
        <f>IFERROR(__xludf.DUMMYFUNCTION("""COMPUTED_VALUE"""),1.22000053E8)</f>
        <v>122000053</v>
      </c>
      <c r="D228" s="9" t="str">
        <f>IFERROR(__xludf.DUMMYFUNCTION("""COMPUTED_VALUE"""),"Lâm Manh")</f>
        <v>Lâm Manh</v>
      </c>
      <c r="E228" s="9" t="str">
        <f>IFERROR(__xludf.DUMMYFUNCTION("""COMPUTED_VALUE"""),"0378165438")</f>
        <v>0378165438</v>
      </c>
      <c r="F228" s="9" t="str">
        <f>IFERROR(__xludf.DUMMYFUNCTION("""COMPUTED_VALUE"""),"22CT113")</f>
        <v>22CT113</v>
      </c>
      <c r="G228" s="9" t="str">
        <f>IFERROR(__xludf.DUMMYFUNCTION("""COMPUTED_VALUE"""),"Thực hiện đồ án tốt nghiệp")</f>
        <v>Thực hiện đồ án tốt nghiệp</v>
      </c>
      <c r="H228" s="9" t="str">
        <f>IFERROR(__xludf.DUMMYFUNCTION("""COMPUTED_VALUE"""),"Phan Mạnh Thường")</f>
        <v>Phan Mạnh Thường</v>
      </c>
      <c r="I228" s="9" t="str">
        <f>IFERROR(__xludf.DUMMYFUNCTION("""COMPUTED_VALUE"""),"Phần Mạnh Thường")</f>
        <v>Phần Mạnh Thường</v>
      </c>
      <c r="J228" s="9" t="str">
        <f>IFERROR(__xludf.DUMMYFUNCTION("""COMPUTED_VALUE"""),"Xây dựng ứng dụng hỗ trợ trẻ tự kỷ/chậm nói học qua hình ảnh (AAC App)")</f>
        <v>Xây dựng ứng dụng hỗ trợ trẻ tự kỷ/chậm nói học qua hình ảnh (AAC App)</v>
      </c>
      <c r="K228" s="9" t="str">
        <f>IFERROR(__xludf.DUMMYFUNCTION("""COMPUTED_VALUE"""),"Xây dựng một ứng dụng di động (Mobile App) đóng vai trò là công cụ giao tiếp thay thế (AAC - Augmentative and Alternative Communication), giúp trẻ gặp khó khăn về ngôn ngữ có thể biểu đạt nhu cầu, suy nghĩ và tương tác với người xung quanh thông qua hình "&amp;"ảnh và âm thanh.")</f>
        <v>Xây dựng một ứng dụng di động (Mobile App) đóng vai trò là công cụ giao tiếp thay thế (AAC - Augmentative and Alternative Communication), giúp trẻ gặp khó khăn về ngôn ngữ có thể biểu đạt nhu cầu, suy nghĩ và tương tác với người xung quanh thông qua hình ảnh và âm thanh.</v>
      </c>
      <c r="L228" s="9" t="str">
        <f>IFERROR(__xludf.DUMMYFUNCTION("""COMPUTED_VALUE"""),"Làm app bằng react native hoăc flutter")</f>
        <v>Làm app bằng react native hoăc flutter</v>
      </c>
      <c r="M228" s="9"/>
      <c r="N228" s="9"/>
      <c r="O228" s="9"/>
      <c r="P228" s="9"/>
      <c r="Q228" s="9" t="str">
        <f>IFERROR(__xludf.DUMMYFUNCTION("""COMPUTED_VALUE"""),"TNDHLTK22_202610515")</f>
        <v>TNDHLTK22_202610515</v>
      </c>
    </row>
    <row r="229">
      <c r="A229" s="10">
        <f>IFERROR(__xludf.DUMMYFUNCTION("""COMPUTED_VALUE"""),46027.38543643519)</f>
        <v>46027.38544</v>
      </c>
      <c r="B229" s="9" t="str">
        <f>IFERROR(__xludf.DUMMYFUNCTION("""COMPUTED_VALUE"""),"nbaolan2003@gmail.com")</f>
        <v>nbaolan2003@gmail.com</v>
      </c>
      <c r="C229" s="9">
        <f>IFERROR(__xludf.DUMMYFUNCTION("""COMPUTED_VALUE"""),1.21000846E8)</f>
        <v>121000846</v>
      </c>
      <c r="D229" s="9" t="str">
        <f>IFERROR(__xludf.DUMMYFUNCTION("""COMPUTED_VALUE"""),"Nguyễn Thiên Bảo Lân")</f>
        <v>Nguyễn Thiên Bảo Lân</v>
      </c>
      <c r="E229" s="9" t="str">
        <f>IFERROR(__xludf.DUMMYFUNCTION("""COMPUTED_VALUE"""),"0964039944")</f>
        <v>0964039944</v>
      </c>
      <c r="F229" s="9" t="str">
        <f>IFERROR(__xludf.DUMMYFUNCTION("""COMPUTED_VALUE"""),"21CT113")</f>
        <v>21CT113</v>
      </c>
      <c r="G229" s="9" t="str">
        <f>IFERROR(__xludf.DUMMYFUNCTION("""COMPUTED_VALUE"""),"Thực hiện đồ án tốt nghiệp")</f>
        <v>Thực hiện đồ án tốt nghiệp</v>
      </c>
      <c r="H229" s="9" t="str">
        <f>IFERROR(__xludf.DUMMYFUNCTION("""COMPUTED_VALUE"""),"Nguyễn Minh Phúc")</f>
        <v>Nguyễn Minh Phúc</v>
      </c>
      <c r="I229" s="9"/>
      <c r="J229" s="9" t="str">
        <f>IFERROR(__xludf.DUMMYFUNCTION("""COMPUTED_VALUE"""),"Xây dựng hệ thống quản lý nhân sự cho doanh nghiệp_ Module quản lý thông tin nhân sự ")</f>
        <v>Xây dựng hệ thống quản lý nhân sự cho doanh nghiệp_ Module quản lý thông tin nhân sự </v>
      </c>
      <c r="K229" s="9" t="str">
        <f>IFERROR(__xludf.DUMMYFUNCTION("""COMPUTED_VALUE"""),"Xây dựng hệ thống quản lý nhân sự toàn diện cho doanh nghiệp, quản lý thông tin về nhân sự, quản lý quy trình làm việc và tăng cường tương tác giữa nhân viên và quản lý và các quy trình liên quan đến nhân sự ")</f>
        <v>Xây dựng hệ thống quản lý nhân sự toàn diện cho doanh nghiệp, quản lý thông tin về nhân sự, quản lý quy trình làm việc và tăng cường tương tác giữa nhân viên và quản lý và các quy trình liên quan đến nhân sự </v>
      </c>
      <c r="L229" s="9" t="str">
        <f>IFERROR(__xludf.DUMMYFUNCTION("""COMPUTED_VALUE"""),"Xây dựng web quản lý thông tin nhân viên, quản lý lịch sử làm việc, quản lý thời gian làm việc, quản lý đào tạo và phát triển, tích hợp công cụ tương tác và báo cáo phân tích công cụ để đánh giá hiệu suất làm việc, thống kê dữ liệu nhân sự và đưa ra quyết"&amp;" định chiến lược ")</f>
        <v>Xây dựng web quản lý thông tin nhân viên, quản lý lịch sử làm việc, quản lý thời gian làm việc, quản lý đào tạo và phát triển, tích hợp công cụ tương tác và báo cáo phân tích công cụ để đánh giá hiệu suất làm việc, thống kê dữ liệu nhân sự và đưa ra quyết định chiến lược </v>
      </c>
      <c r="M229" s="9"/>
      <c r="N229" s="9"/>
      <c r="O229" s="9"/>
      <c r="P229" s="9"/>
      <c r="Q229" s="9" t="str">
        <f>IFERROR(__xludf.DUMMYFUNCTION("""COMPUTED_VALUE"""),"TNDHLTK22_202610515")</f>
        <v>TNDHLTK22_202610515</v>
      </c>
    </row>
    <row r="230">
      <c r="A230" s="10">
        <f>IFERROR(__xludf.DUMMYFUNCTION("""COMPUTED_VALUE"""),46027.61219297454)</f>
        <v>46027.61219</v>
      </c>
      <c r="B230" s="9" t="str">
        <f>IFERROR(__xludf.DUMMYFUNCTION("""COMPUTED_VALUE"""),"hoangnguyen15092004@gmail.com")</f>
        <v>hoangnguyen15092004@gmail.com</v>
      </c>
      <c r="C230" s="9">
        <f>IFERROR(__xludf.DUMMYFUNCTION("""COMPUTED_VALUE"""),1.22000275E8)</f>
        <v>122000275</v>
      </c>
      <c r="D230" s="9" t="str">
        <f>IFERROR(__xludf.DUMMYFUNCTION("""COMPUTED_VALUE"""),"Nguyễn Nguyên Hoàng")</f>
        <v>Nguyễn Nguyên Hoàng</v>
      </c>
      <c r="E230" s="9" t="str">
        <f>IFERROR(__xludf.DUMMYFUNCTION("""COMPUTED_VALUE"""),"0706815466")</f>
        <v>0706815466</v>
      </c>
      <c r="F230" s="9" t="str">
        <f>IFERROR(__xludf.DUMMYFUNCTION("""COMPUTED_VALUE"""),"22CT113")</f>
        <v>22CT113</v>
      </c>
      <c r="G230" s="9" t="str">
        <f>IFERROR(__xludf.DUMMYFUNCTION("""COMPUTED_VALUE"""),"Thực hiện đồ án tốt nghiệp")</f>
        <v>Thực hiện đồ án tốt nghiệp</v>
      </c>
      <c r="H230" s="9" t="str">
        <f>IFERROR(__xludf.DUMMYFUNCTION("""COMPUTED_VALUE"""),"Phan Mạnh Thường")</f>
        <v>Phan Mạnh Thường</v>
      </c>
      <c r="I230" s="9" t="str">
        <f>IFERROR(__xludf.DUMMYFUNCTION("""COMPUTED_VALUE"""),"Đoàn Thiện Minh")</f>
        <v>Đoàn Thiện Minh</v>
      </c>
      <c r="J230" s="9" t="str">
        <f>IFERROR(__xludf.DUMMYFUNCTION("""COMPUTED_VALUE"""),"Xây dựng ứng dụng hỗ trợ trẻ tự kỷ/chậm nói học qua hình ảnh (AAC App)")</f>
        <v>Xây dựng ứng dụng hỗ trợ trẻ tự kỷ/chậm nói học qua hình ảnh (AAC App)</v>
      </c>
      <c r="K230" s="9" t="str">
        <f>IFERROR(__xludf.DUMMYFUNCTION("""COMPUTED_VALUE"""),"Xây dựng một ứng dụng di động (Mobile App) đóng vai trò là công cụ giao tiếp thay thế (AAC - Augmentative and Alternative Communication), giúp trẻ gặp khó khăn về ngôn ngữ có thể biểu đạt nhu cầu, suy nghĩ và tương tác với người xung quanh thông qua hình "&amp;"ảnh và âm thanh.")</f>
        <v>Xây dựng một ứng dụng di động (Mobile App) đóng vai trò là công cụ giao tiếp thay thế (AAC - Augmentative and Alternative Communication), giúp trẻ gặp khó khăn về ngôn ngữ có thể biểu đạt nhu cầu, suy nghĩ và tương tác với người xung quanh thông qua hình ảnh và âm thanh.</v>
      </c>
      <c r="L230" s="9" t="str">
        <f>IFERROR(__xludf.DUMMYFUNCTION("""COMPUTED_VALUE"""),"Về nghiên cứu &amp; Phân tích:
Nghiên cứu phương pháp PECS (Picture Exchange Communication System - Hệ thống giao tiếp trao đổi hình ảnh) để áp dụng vào luồng logic của ứng dụng.
Tìm hiểu tâm lý và hành vi sử dụng thiết bị của trẻ tự kỷ để thiết kế giao diện "&amp;"(UI/UX) tối giản, tránh gây xao nhãng (sensory friendly).
Về kỹ thuật &amp; Tính năng:
Xây dựng kho dữ liệu hình ảnh (thẻ tranh) phong phú, gần gũi với văn hóa và đời sống Việt Nam.
Tích hợp công nghệ chuyển đổi văn bản thành giọng nói (Text-to-Speech) tiếng"&amp;" Việt tự nhiên để ""phát ngôn"" thay cho trẻ.
Phát triển tính năng cá nhân hóa: Cho phép cha mẹ/giáo viên tự chụp ảnh, thêm thẻ mới và ghi âm giọng nói của người thân để trẻ dễ tiếp nhận.
")</f>
        <v>Về nghiên cứu &amp; Phân tích:
Nghiên cứu phương pháp PECS (Picture Exchange Communication System - Hệ thống giao tiếp trao đổi hình ảnh) để áp dụng vào luồng logic của ứng dụng.
Tìm hiểu tâm lý và hành vi sử dụng thiết bị của trẻ tự kỷ để thiết kế giao diện (UI/UX) tối giản, tránh gây xao nhãng (sensory friendly).
Về kỹ thuật &amp; Tính năng:
Xây dựng kho dữ liệu hình ảnh (thẻ tranh) phong phú, gần gũi với văn hóa và đời sống Việt Nam.
Tích hợp công nghệ chuyển đổi văn bản thành giọng nói (Text-to-Speech) tiếng Việt tự nhiên để "phát ngôn" thay cho trẻ.
Phát triển tính năng cá nhân hóa: Cho phép cha mẹ/giáo viên tự chụp ảnh, thêm thẻ mới và ghi âm giọng nói của người thân để trẻ dễ tiếp nhận.
</v>
      </c>
      <c r="M230" s="9"/>
      <c r="N230" s="9"/>
      <c r="O230" s="9"/>
      <c r="P230" s="9"/>
      <c r="Q230" s="9" t="str">
        <f>IFERROR(__xludf.DUMMYFUNCTION("""COMPUTED_VALUE"""),"TNDHLTK22_202610515")</f>
        <v>TNDHLTK22_202610515</v>
      </c>
    </row>
    <row r="231">
      <c r="A231" s="10">
        <f>IFERROR(__xludf.DUMMYFUNCTION("""COMPUTED_VALUE"""),46025.75122846065)</f>
        <v>46025.75123</v>
      </c>
      <c r="B231" s="9" t="str">
        <f>IFERROR(__xludf.DUMMYFUNCTION("""COMPUTED_VALUE"""),"dinhphat908@gmail.com")</f>
        <v>dinhphat908@gmail.com</v>
      </c>
      <c r="C231" s="9">
        <f>IFERROR(__xludf.DUMMYFUNCTION("""COMPUTED_VALUE"""),1.2200128E8)</f>
        <v>122001280</v>
      </c>
      <c r="D231" s="9" t="str">
        <f>IFERROR(__xludf.DUMMYFUNCTION("""COMPUTED_VALUE"""),"Nguyễn Đình Phát")</f>
        <v>Nguyễn Đình Phát</v>
      </c>
      <c r="E231" s="9" t="str">
        <f>IFERROR(__xludf.DUMMYFUNCTION("""COMPUTED_VALUE"""),"0988726204")</f>
        <v>0988726204</v>
      </c>
      <c r="F231" s="9" t="str">
        <f>IFERROR(__xludf.DUMMYFUNCTION("""COMPUTED_VALUE"""),"22CT112")</f>
        <v>22CT112</v>
      </c>
      <c r="G231" s="9" t="str">
        <f>IFERROR(__xludf.DUMMYFUNCTION("""COMPUTED_VALUE"""),"Thực hiện đồ án tốt nghiệp")</f>
        <v>Thực hiện đồ án tốt nghiệp</v>
      </c>
      <c r="H231" s="9" t="str">
        <f>IFERROR(__xludf.DUMMYFUNCTION("""COMPUTED_VALUE"""),"Phan Thị Hường")</f>
        <v>Phan Thị Hường</v>
      </c>
      <c r="I231" s="9"/>
      <c r="J231" s="9" t="str">
        <f>IFERROR(__xludf.DUMMYFUNCTION("""COMPUTED_VALUE"""),"Agent tư vấn chế độ ăn uống cho bệnh nhân cường giáp")</f>
        <v>Agent tư vấn chế độ ăn uống cho bệnh nhân cường giáp</v>
      </c>
      <c r="K231" s="9" t="str">
        <f>IFERROR(__xludf.DUMMYFUNCTION("""COMPUTED_VALUE"""),"Xây dựng hệ thống giúp người mắc bệnh cường giáp quản lí chế độ ăn uống")</f>
        <v>Xây dựng hệ thống giúp người mắc bệnh cường giáp quản lí chế độ ăn uống</v>
      </c>
      <c r="L231" s="9" t="str">
        <f>IFERROR(__xludf.DUMMYFUNCTION("""COMPUTED_VALUE"""),"Sử dụng bộ Data có sẵn để tiến hành huấn luyện agent. Sau đó triển khai dưới dạng chatbot, cung cấp tư vấn an toàn, cá nhân hóa, hỗ trợ kiểm soát triệu chứng bệnh mà không thay thế bác sĩ chuyên khoa.")</f>
        <v>Sử dụng bộ Data có sẵn để tiến hành huấn luyện agent. Sau đó triển khai dưới dạng chatbot, cung cấp tư vấn an toàn, cá nhân hóa, hỗ trợ kiểm soát triệu chứng bệnh mà không thay thế bác sĩ chuyên khoa.</v>
      </c>
      <c r="M231" s="9" t="str">
        <f>IFERROR(__xludf.DUMMYFUNCTION("""COMPUTED_VALUE"""),"Thực hiện đề tài vời Nguyễn Đình Phát với MSSV: 122001280")</f>
        <v>Thực hiện đề tài vời Nguyễn Đình Phát với MSSV: 122001280</v>
      </c>
      <c r="N231" s="9"/>
      <c r="O231" s="9"/>
      <c r="P231" s="9"/>
      <c r="Q231" s="9" t="str">
        <f>IFERROR(__xludf.DUMMYFUNCTION("""COMPUTED_VALUE"""),"TNDHLTK22_202610515")</f>
        <v>TNDHLTK22_202610515</v>
      </c>
    </row>
    <row r="232">
      <c r="A232" s="12">
        <f>IFERROR(__xludf.DUMMYFUNCTION("""COMPUTED_VALUE"""),46037.0)</f>
        <v>46037</v>
      </c>
      <c r="B232" s="9" t="str">
        <f>IFERROR(__xludf.DUMMYFUNCTION("""COMPUTED_VALUE"""),"duynguyen14852@gmail.com")</f>
        <v>duynguyen14852@gmail.com</v>
      </c>
      <c r="C232" s="9">
        <f>IFERROR(__xludf.DUMMYFUNCTION("""COMPUTED_VALUE"""),1.22000455E8)</f>
        <v>122000455</v>
      </c>
      <c r="D232" s="9" t="str">
        <f>IFERROR(__xludf.DUMMYFUNCTION("""COMPUTED_VALUE"""),"Nguyễn Trường Duy")</f>
        <v>Nguyễn Trường Duy</v>
      </c>
      <c r="E232" s="9" t="str">
        <f>IFERROR(__xludf.DUMMYFUNCTION("""COMPUTED_VALUE"""),"03726667443")</f>
        <v>03726667443</v>
      </c>
      <c r="F232" s="9" t="str">
        <f>IFERROR(__xludf.DUMMYFUNCTION("""COMPUTED_VALUE"""),"22CT111")</f>
        <v>22CT111</v>
      </c>
      <c r="G232" s="9" t="str">
        <f>IFERROR(__xludf.DUMMYFUNCTION("""COMPUTED_VALUE"""),"Thực hiện đồ án tốt nghiệp")</f>
        <v>Thực hiện đồ án tốt nghiệp</v>
      </c>
      <c r="H232" s="9" t="str">
        <f>IFERROR(__xludf.DUMMYFUNCTION("""COMPUTED_VALUE"""),"Nguyễn Vũ Thiên Phúc")</f>
        <v>Nguyễn Vũ Thiên Phúc</v>
      </c>
      <c r="I232" s="9"/>
      <c r="J232" s="9" t="str">
        <f>IFERROR(__xludf.DUMMYFUNCTION("""COMPUTED_VALUE"""),"Thiết bị đo thông số môi trường và đưa ra phương án Cây trồng phù hợp cho nông dân")</f>
        <v>Thiết bị đo thông số môi trường và đưa ra phương án Cây trồng phù hợp cho nông dân</v>
      </c>
      <c r="K232" s="9"/>
      <c r="L232" s="9"/>
      <c r="M232" s="9"/>
      <c r="N232" s="9"/>
      <c r="O232" s="9"/>
      <c r="P232" s="9"/>
      <c r="Q232" s="9" t="str">
        <f>IFERROR(__xludf.DUMMYFUNCTION("""COMPUTED_VALUE"""),"TNDHLTK22_202610515")</f>
        <v>TNDHLTK22_202610515</v>
      </c>
    </row>
    <row r="233">
      <c r="A233" s="9"/>
      <c r="B233" s="9"/>
      <c r="C233" s="9"/>
      <c r="D233" s="9"/>
      <c r="E233" s="9"/>
      <c r="F233" s="9"/>
      <c r="G233" s="9"/>
      <c r="H233" s="9"/>
      <c r="I233" s="9"/>
      <c r="J233" s="9"/>
      <c r="K233" s="9"/>
      <c r="L233" s="9"/>
      <c r="M233" s="9"/>
      <c r="N233" s="9"/>
      <c r="O233" s="9"/>
      <c r="P233" s="9"/>
      <c r="Q233" s="9"/>
    </row>
    <row r="234">
      <c r="A234" s="9"/>
      <c r="B234" s="9"/>
      <c r="C234" s="9"/>
      <c r="D234" s="9"/>
      <c r="E234" s="9"/>
      <c r="F234" s="9"/>
      <c r="G234" s="9"/>
      <c r="H234" s="9"/>
      <c r="I234" s="9"/>
      <c r="J234" s="9"/>
      <c r="K234" s="9"/>
      <c r="L234" s="9"/>
      <c r="M234" s="9"/>
      <c r="N234" s="9"/>
      <c r="O234" s="9"/>
      <c r="P234" s="9"/>
      <c r="Q234" s="9"/>
    </row>
    <row r="235">
      <c r="A235" s="9"/>
      <c r="B235" s="9"/>
      <c r="C235" s="9"/>
      <c r="D235" s="9"/>
      <c r="E235" s="9"/>
      <c r="F235" s="9"/>
      <c r="G235" s="9"/>
      <c r="H235" s="9"/>
      <c r="I235" s="9"/>
      <c r="J235" s="9"/>
      <c r="K235" s="9"/>
      <c r="L235" s="9"/>
      <c r="M235" s="9"/>
      <c r="N235" s="9"/>
      <c r="O235" s="9"/>
      <c r="P235" s="9"/>
      <c r="Q235" s="9"/>
    </row>
    <row r="236">
      <c r="A236" s="9"/>
      <c r="B236" s="9"/>
      <c r="C236" s="9"/>
      <c r="D236" s="9"/>
      <c r="E236" s="9"/>
      <c r="F236" s="9"/>
      <c r="G236" s="9"/>
      <c r="H236" s="9"/>
      <c r="I236" s="9"/>
      <c r="J236" s="9"/>
      <c r="K236" s="9"/>
      <c r="L236" s="9"/>
      <c r="M236" s="9"/>
      <c r="N236" s="9"/>
      <c r="O236" s="9"/>
      <c r="P236" s="9"/>
      <c r="Q236" s="9"/>
    </row>
    <row r="237">
      <c r="A237" s="9"/>
      <c r="B237" s="9"/>
      <c r="C237" s="9"/>
      <c r="D237" s="9"/>
      <c r="E237" s="9"/>
      <c r="F237" s="9"/>
      <c r="G237" s="9"/>
      <c r="H237" s="9"/>
      <c r="I237" s="9"/>
      <c r="J237" s="9"/>
      <c r="K237" s="9"/>
      <c r="L237" s="9"/>
      <c r="M237" s="9"/>
      <c r="N237" s="9"/>
      <c r="O237" s="9"/>
      <c r="P237" s="9"/>
      <c r="Q237" s="9"/>
    </row>
    <row r="238">
      <c r="A238" s="9"/>
      <c r="B238" s="9"/>
      <c r="C238" s="9"/>
      <c r="D238" s="9"/>
      <c r="E238" s="9"/>
      <c r="F238" s="9"/>
      <c r="G238" s="9"/>
      <c r="H238" s="9"/>
      <c r="I238" s="9"/>
      <c r="J238" s="9"/>
      <c r="K238" s="9"/>
      <c r="L238" s="9"/>
      <c r="M238" s="9"/>
      <c r="N238" s="9"/>
      <c r="O238" s="9"/>
      <c r="P238" s="9"/>
      <c r="Q238" s="9"/>
    </row>
    <row r="239">
      <c r="A239" s="9"/>
      <c r="B239" s="9"/>
      <c r="C239" s="9"/>
      <c r="D239" s="9"/>
      <c r="E239" s="9"/>
      <c r="F239" s="9"/>
      <c r="G239" s="9"/>
      <c r="H239" s="9"/>
      <c r="I239" s="9"/>
      <c r="J239" s="9"/>
      <c r="K239" s="9"/>
      <c r="L239" s="9"/>
      <c r="M239" s="9"/>
      <c r="N239" s="9"/>
      <c r="O239" s="9"/>
      <c r="P239" s="9"/>
      <c r="Q239" s="9"/>
    </row>
    <row r="240">
      <c r="A240" s="9"/>
      <c r="B240" s="9"/>
      <c r="C240" s="9"/>
      <c r="D240" s="9"/>
      <c r="E240" s="9"/>
      <c r="F240" s="9"/>
      <c r="G240" s="9"/>
      <c r="H240" s="9"/>
      <c r="I240" s="9"/>
      <c r="J240" s="9"/>
      <c r="K240" s="9"/>
      <c r="L240" s="9"/>
      <c r="M240" s="9"/>
      <c r="N240" s="9"/>
      <c r="O240" s="9"/>
      <c r="P240" s="9"/>
      <c r="Q240" s="9"/>
    </row>
    <row r="241">
      <c r="A241" s="9"/>
      <c r="B241" s="9"/>
      <c r="C241" s="9"/>
      <c r="D241" s="9"/>
      <c r="E241" s="9"/>
      <c r="F241" s="9"/>
      <c r="G241" s="9"/>
      <c r="H241" s="9"/>
      <c r="I241" s="9"/>
      <c r="J241" s="9"/>
      <c r="K241" s="9"/>
      <c r="L241" s="9"/>
      <c r="M241" s="9"/>
      <c r="N241" s="9"/>
      <c r="O241" s="9"/>
      <c r="P241" s="9"/>
      <c r="Q241" s="9"/>
    </row>
    <row r="242">
      <c r="A242" s="9"/>
      <c r="B242" s="9"/>
      <c r="C242" s="9"/>
      <c r="D242" s="9"/>
      <c r="E242" s="9"/>
      <c r="F242" s="9"/>
      <c r="G242" s="9"/>
      <c r="H242" s="9"/>
      <c r="I242" s="9"/>
      <c r="J242" s="9"/>
      <c r="K242" s="9"/>
      <c r="L242" s="9"/>
      <c r="M242" s="9"/>
      <c r="N242" s="9"/>
      <c r="O242" s="9"/>
      <c r="P242" s="9"/>
      <c r="Q242" s="9"/>
    </row>
    <row r="243">
      <c r="A243" s="9"/>
      <c r="B243" s="9"/>
      <c r="C243" s="9"/>
      <c r="D243" s="9"/>
      <c r="E243" s="9"/>
      <c r="F243" s="9"/>
      <c r="G243" s="9"/>
      <c r="H243" s="9"/>
      <c r="I243" s="9"/>
      <c r="J243" s="9"/>
      <c r="K243" s="9"/>
      <c r="L243" s="9"/>
      <c r="M243" s="9"/>
      <c r="N243" s="9"/>
      <c r="O243" s="9"/>
      <c r="P243" s="9"/>
      <c r="Q243" s="9"/>
    </row>
    <row r="244">
      <c r="A244" s="9"/>
      <c r="B244" s="9"/>
      <c r="C244" s="9"/>
      <c r="D244" s="9"/>
      <c r="E244" s="9"/>
      <c r="F244" s="9"/>
      <c r="G244" s="9"/>
      <c r="H244" s="9"/>
      <c r="I244" s="9"/>
      <c r="J244" s="9"/>
      <c r="K244" s="9"/>
      <c r="L244" s="9"/>
      <c r="M244" s="9"/>
      <c r="N244" s="9"/>
      <c r="O244" s="9"/>
      <c r="P244" s="9"/>
      <c r="Q244" s="9"/>
    </row>
    <row r="245">
      <c r="A245" s="9"/>
      <c r="B245" s="9"/>
      <c r="C245" s="9"/>
      <c r="D245" s="9"/>
      <c r="E245" s="9"/>
      <c r="F245" s="9"/>
      <c r="G245" s="9"/>
      <c r="H245" s="9"/>
      <c r="I245" s="9"/>
      <c r="J245" s="9"/>
      <c r="K245" s="9"/>
      <c r="L245" s="9"/>
      <c r="M245" s="9"/>
      <c r="N245" s="9"/>
      <c r="O245" s="9"/>
      <c r="P245" s="9"/>
      <c r="Q245" s="9"/>
    </row>
    <row r="246">
      <c r="A246" s="9"/>
      <c r="B246" s="9"/>
      <c r="C246" s="9"/>
      <c r="D246" s="9"/>
      <c r="E246" s="9"/>
      <c r="F246" s="9"/>
      <c r="G246" s="9"/>
      <c r="H246" s="9"/>
      <c r="I246" s="9"/>
      <c r="J246" s="9"/>
      <c r="K246" s="9"/>
      <c r="L246" s="9"/>
      <c r="M246" s="9"/>
      <c r="N246" s="9"/>
      <c r="O246" s="9"/>
      <c r="P246" s="9"/>
      <c r="Q246" s="9"/>
    </row>
    <row r="247">
      <c r="A247" s="9"/>
      <c r="B247" s="9"/>
      <c r="C247" s="9"/>
      <c r="D247" s="9"/>
      <c r="E247" s="9"/>
      <c r="F247" s="9"/>
      <c r="G247" s="9"/>
      <c r="H247" s="9"/>
      <c r="I247" s="9"/>
      <c r="J247" s="9"/>
      <c r="K247" s="9"/>
      <c r="L247" s="9"/>
      <c r="M247" s="9"/>
      <c r="N247" s="9"/>
      <c r="O247" s="9"/>
      <c r="P247" s="9"/>
      <c r="Q247" s="9"/>
    </row>
    <row r="248">
      <c r="A248" s="9"/>
      <c r="B248" s="9"/>
      <c r="C248" s="9"/>
      <c r="D248" s="9"/>
      <c r="E248" s="9"/>
      <c r="F248" s="9"/>
      <c r="G248" s="9"/>
      <c r="H248" s="9"/>
      <c r="I248" s="9"/>
      <c r="J248" s="9"/>
      <c r="K248" s="9"/>
      <c r="L248" s="9"/>
      <c r="M248" s="9"/>
      <c r="N248" s="9"/>
      <c r="O248" s="9"/>
      <c r="P248" s="9"/>
      <c r="Q248" s="9"/>
    </row>
    <row r="249">
      <c r="A249" s="9"/>
      <c r="B249" s="9"/>
      <c r="C249" s="9"/>
      <c r="D249" s="9"/>
      <c r="E249" s="9"/>
      <c r="F249" s="9"/>
      <c r="G249" s="9"/>
      <c r="H249" s="9"/>
      <c r="I249" s="9"/>
      <c r="J249" s="9"/>
      <c r="K249" s="9"/>
      <c r="L249" s="9"/>
      <c r="M249" s="9"/>
      <c r="N249" s="9"/>
      <c r="O249" s="9"/>
      <c r="P249" s="9"/>
      <c r="Q249" s="9"/>
    </row>
    <row r="250">
      <c r="A250" s="9"/>
      <c r="B250" s="9"/>
      <c r="C250" s="9"/>
      <c r="D250" s="9"/>
      <c r="E250" s="9"/>
      <c r="F250" s="9"/>
      <c r="G250" s="9"/>
      <c r="H250" s="9"/>
      <c r="I250" s="9"/>
      <c r="J250" s="9"/>
      <c r="K250" s="9"/>
      <c r="L250" s="9"/>
      <c r="M250" s="9"/>
      <c r="N250" s="9"/>
      <c r="O250" s="9"/>
      <c r="P250" s="9"/>
      <c r="Q250" s="9"/>
    </row>
    <row r="251">
      <c r="A251" s="9"/>
      <c r="B251" s="9"/>
      <c r="C251" s="9"/>
      <c r="D251" s="9"/>
      <c r="E251" s="9"/>
      <c r="F251" s="9"/>
      <c r="G251" s="9"/>
      <c r="H251" s="9"/>
      <c r="I251" s="9"/>
      <c r="J251" s="9"/>
      <c r="K251" s="9"/>
      <c r="L251" s="9"/>
      <c r="M251" s="9"/>
      <c r="N251" s="9"/>
      <c r="O251" s="9"/>
      <c r="P251" s="9"/>
      <c r="Q251" s="9"/>
    </row>
    <row r="252">
      <c r="A252" s="9"/>
      <c r="B252" s="9"/>
      <c r="C252" s="9"/>
      <c r="D252" s="9"/>
      <c r="E252" s="9"/>
      <c r="F252" s="9"/>
      <c r="G252" s="9"/>
      <c r="H252" s="9"/>
      <c r="I252" s="9"/>
      <c r="J252" s="9"/>
      <c r="K252" s="9"/>
      <c r="L252" s="9"/>
      <c r="M252" s="9"/>
      <c r="N252" s="9"/>
      <c r="O252" s="9"/>
      <c r="P252" s="9"/>
      <c r="Q252" s="9"/>
    </row>
    <row r="253">
      <c r="A253" s="9"/>
      <c r="B253" s="9"/>
      <c r="C253" s="9"/>
      <c r="D253" s="9"/>
      <c r="E253" s="9"/>
      <c r="F253" s="9"/>
      <c r="G253" s="9"/>
      <c r="H253" s="9"/>
      <c r="I253" s="9"/>
      <c r="J253" s="9"/>
      <c r="K253" s="9"/>
      <c r="L253" s="9"/>
      <c r="M253" s="9"/>
      <c r="N253" s="9"/>
      <c r="O253" s="9"/>
      <c r="P253" s="9"/>
      <c r="Q253" s="9"/>
    </row>
    <row r="254">
      <c r="A254" s="9"/>
      <c r="B254" s="9"/>
      <c r="C254" s="9"/>
      <c r="D254" s="9"/>
      <c r="E254" s="9"/>
      <c r="F254" s="9"/>
      <c r="G254" s="9"/>
      <c r="H254" s="9"/>
      <c r="I254" s="9"/>
      <c r="J254" s="9"/>
      <c r="K254" s="9"/>
      <c r="L254" s="9"/>
      <c r="M254" s="9"/>
      <c r="N254" s="9"/>
      <c r="O254" s="9"/>
      <c r="P254" s="9"/>
      <c r="Q254" s="9"/>
    </row>
    <row r="255">
      <c r="A255" s="9"/>
      <c r="B255" s="9"/>
      <c r="C255" s="9"/>
      <c r="D255" s="9"/>
      <c r="E255" s="9"/>
      <c r="F255" s="9"/>
      <c r="G255" s="9"/>
      <c r="H255" s="9"/>
      <c r="I255" s="9"/>
      <c r="J255" s="9"/>
      <c r="K255" s="9"/>
      <c r="L255" s="9"/>
      <c r="M255" s="9"/>
      <c r="N255" s="9"/>
      <c r="O255" s="9"/>
      <c r="P255" s="9"/>
      <c r="Q255" s="9"/>
    </row>
    <row r="256">
      <c r="A256" s="9"/>
      <c r="B256" s="9"/>
      <c r="C256" s="9"/>
      <c r="D256" s="9"/>
      <c r="E256" s="9"/>
      <c r="F256" s="9"/>
      <c r="G256" s="9"/>
      <c r="H256" s="9"/>
      <c r="I256" s="9"/>
      <c r="J256" s="9"/>
      <c r="K256" s="9"/>
      <c r="L256" s="9"/>
      <c r="M256" s="9"/>
      <c r="N256" s="9"/>
      <c r="O256" s="9"/>
      <c r="P256" s="9"/>
      <c r="Q256" s="9"/>
    </row>
    <row r="257">
      <c r="A257" s="9"/>
      <c r="B257" s="9"/>
      <c r="C257" s="9"/>
      <c r="D257" s="9"/>
      <c r="E257" s="9"/>
      <c r="F257" s="9"/>
      <c r="G257" s="9"/>
      <c r="H257" s="9"/>
      <c r="I257" s="9"/>
      <c r="J257" s="9"/>
      <c r="K257" s="9"/>
      <c r="L257" s="9"/>
      <c r="M257" s="9"/>
      <c r="N257" s="9"/>
      <c r="O257" s="9"/>
      <c r="P257" s="9"/>
      <c r="Q257" s="9"/>
    </row>
    <row r="258">
      <c r="A258" s="9"/>
      <c r="B258" s="9"/>
      <c r="C258" s="9"/>
      <c r="D258" s="9"/>
      <c r="E258" s="9"/>
      <c r="F258" s="9"/>
      <c r="G258" s="9"/>
      <c r="H258" s="9"/>
      <c r="I258" s="9"/>
      <c r="J258" s="9"/>
      <c r="K258" s="9"/>
      <c r="L258" s="9"/>
      <c r="M258" s="9"/>
      <c r="N258" s="9"/>
      <c r="O258" s="9"/>
      <c r="P258" s="9"/>
      <c r="Q258" s="9"/>
    </row>
    <row r="259">
      <c r="A259" s="9"/>
      <c r="B259" s="9"/>
      <c r="C259" s="9"/>
      <c r="D259" s="9"/>
      <c r="E259" s="9"/>
      <c r="F259" s="9"/>
      <c r="G259" s="9"/>
      <c r="H259" s="9"/>
      <c r="I259" s="9"/>
      <c r="J259" s="9"/>
      <c r="K259" s="9"/>
      <c r="L259" s="9"/>
      <c r="M259" s="9"/>
      <c r="N259" s="9"/>
      <c r="O259" s="9"/>
      <c r="P259" s="9"/>
      <c r="Q259" s="9"/>
    </row>
    <row r="260">
      <c r="A260" s="9"/>
      <c r="B260" s="9"/>
      <c r="C260" s="9"/>
      <c r="D260" s="9"/>
      <c r="E260" s="9"/>
      <c r="F260" s="9"/>
      <c r="G260" s="9"/>
      <c r="H260" s="9"/>
      <c r="I260" s="9"/>
      <c r="J260" s="9"/>
      <c r="K260" s="9"/>
      <c r="L260" s="9"/>
      <c r="M260" s="9"/>
      <c r="N260" s="9"/>
      <c r="O260" s="9"/>
      <c r="P260" s="9"/>
      <c r="Q260" s="9"/>
    </row>
    <row r="261">
      <c r="A261" s="9"/>
      <c r="B261" s="9"/>
      <c r="C261" s="9"/>
      <c r="D261" s="9"/>
      <c r="E261" s="9"/>
      <c r="F261" s="9"/>
      <c r="G261" s="9"/>
      <c r="H261" s="9"/>
      <c r="I261" s="9"/>
      <c r="J261" s="9"/>
      <c r="K261" s="9"/>
      <c r="L261" s="9"/>
      <c r="M261" s="9"/>
      <c r="N261" s="9"/>
      <c r="O261" s="9"/>
      <c r="P261" s="9"/>
      <c r="Q261" s="9"/>
    </row>
    <row r="262">
      <c r="A262" s="9"/>
      <c r="B262" s="9"/>
      <c r="C262" s="9"/>
      <c r="D262" s="9"/>
      <c r="E262" s="9"/>
      <c r="F262" s="9"/>
      <c r="G262" s="9"/>
      <c r="H262" s="9"/>
      <c r="I262" s="9"/>
      <c r="J262" s="9"/>
      <c r="K262" s="9"/>
      <c r="L262" s="9"/>
      <c r="M262" s="9"/>
      <c r="N262" s="9"/>
      <c r="O262" s="9"/>
      <c r="P262" s="9"/>
      <c r="Q262" s="9"/>
    </row>
    <row r="263">
      <c r="A263" s="9"/>
      <c r="B263" s="9"/>
      <c r="C263" s="9"/>
      <c r="D263" s="9"/>
      <c r="E263" s="9"/>
      <c r="F263" s="9"/>
      <c r="G263" s="9"/>
      <c r="H263" s="9"/>
      <c r="I263" s="9"/>
      <c r="J263" s="9"/>
      <c r="K263" s="9"/>
      <c r="L263" s="9"/>
      <c r="M263" s="9"/>
      <c r="N263" s="9"/>
      <c r="O263" s="9"/>
      <c r="P263" s="9"/>
      <c r="Q263" s="9"/>
    </row>
    <row r="264">
      <c r="A264" s="9"/>
      <c r="B264" s="9"/>
      <c r="C264" s="9"/>
      <c r="D264" s="9"/>
      <c r="E264" s="9"/>
      <c r="F264" s="9"/>
      <c r="G264" s="9"/>
      <c r="H264" s="9"/>
      <c r="I264" s="9"/>
      <c r="J264" s="9"/>
      <c r="K264" s="9"/>
      <c r="L264" s="9"/>
      <c r="M264" s="9"/>
      <c r="N264" s="9"/>
      <c r="O264" s="9"/>
      <c r="P264" s="9"/>
      <c r="Q264" s="9"/>
    </row>
    <row r="265">
      <c r="A265" s="9"/>
      <c r="B265" s="9"/>
      <c r="C265" s="9"/>
      <c r="D265" s="9"/>
      <c r="E265" s="9"/>
      <c r="F265" s="9"/>
      <c r="G265" s="9"/>
      <c r="H265" s="9"/>
      <c r="I265" s="9"/>
      <c r="J265" s="9"/>
      <c r="K265" s="9"/>
      <c r="L265" s="9"/>
      <c r="M265" s="9"/>
      <c r="N265" s="9"/>
      <c r="O265" s="9"/>
      <c r="P265" s="9"/>
      <c r="Q265" s="9"/>
    </row>
    <row r="266">
      <c r="A266" s="9"/>
      <c r="B266" s="9"/>
      <c r="C266" s="9"/>
      <c r="D266" s="9"/>
      <c r="E266" s="9"/>
      <c r="F266" s="9"/>
      <c r="G266" s="9"/>
      <c r="H266" s="9"/>
      <c r="I266" s="9"/>
      <c r="J266" s="9"/>
      <c r="K266" s="9"/>
      <c r="L266" s="9"/>
      <c r="M266" s="9"/>
      <c r="N266" s="9"/>
      <c r="O266" s="9"/>
      <c r="P266" s="9"/>
      <c r="Q266" s="9"/>
    </row>
    <row r="267">
      <c r="A267" s="9"/>
      <c r="B267" s="9"/>
      <c r="C267" s="9"/>
      <c r="D267" s="9"/>
      <c r="E267" s="9"/>
      <c r="F267" s="9"/>
      <c r="G267" s="9"/>
      <c r="H267" s="9"/>
      <c r="I267" s="9"/>
      <c r="J267" s="9"/>
      <c r="K267" s="9"/>
      <c r="L267" s="9"/>
      <c r="M267" s="9"/>
      <c r="N267" s="9"/>
      <c r="O267" s="9"/>
      <c r="P267" s="9"/>
      <c r="Q267" s="9"/>
    </row>
    <row r="268">
      <c r="A268" s="9"/>
      <c r="B268" s="9"/>
      <c r="C268" s="9"/>
      <c r="D268" s="9"/>
      <c r="E268" s="9"/>
      <c r="F268" s="9"/>
      <c r="G268" s="9"/>
      <c r="H268" s="9"/>
      <c r="I268" s="9"/>
      <c r="J268" s="9"/>
      <c r="K268" s="9"/>
      <c r="L268" s="9"/>
      <c r="M268" s="9"/>
      <c r="N268" s="9"/>
      <c r="O268" s="9"/>
      <c r="P268" s="9"/>
      <c r="Q268" s="9"/>
    </row>
    <row r="269">
      <c r="A269" s="9"/>
      <c r="B269" s="9"/>
      <c r="C269" s="9"/>
      <c r="D269" s="9"/>
      <c r="E269" s="9"/>
      <c r="F269" s="9"/>
      <c r="G269" s="9"/>
      <c r="H269" s="9"/>
      <c r="I269" s="9"/>
      <c r="J269" s="9"/>
      <c r="K269" s="9"/>
      <c r="L269" s="9"/>
      <c r="M269" s="9"/>
      <c r="N269" s="9"/>
      <c r="O269" s="9"/>
      <c r="P269" s="9"/>
      <c r="Q269" s="9"/>
    </row>
    <row r="270">
      <c r="A270" s="9"/>
      <c r="B270" s="9"/>
      <c r="C270" s="9"/>
      <c r="D270" s="9"/>
      <c r="E270" s="9"/>
      <c r="F270" s="9"/>
      <c r="G270" s="9"/>
      <c r="H270" s="9"/>
      <c r="I270" s="9"/>
      <c r="J270" s="9"/>
      <c r="K270" s="9"/>
      <c r="L270" s="9"/>
      <c r="M270" s="9"/>
      <c r="N270" s="9"/>
      <c r="O270" s="9"/>
      <c r="P270" s="9"/>
      <c r="Q270" s="9"/>
    </row>
    <row r="271">
      <c r="A271" s="9"/>
      <c r="B271" s="9"/>
      <c r="C271" s="9"/>
      <c r="D271" s="9"/>
      <c r="E271" s="9"/>
      <c r="F271" s="9"/>
      <c r="G271" s="9"/>
      <c r="H271" s="9"/>
      <c r="I271" s="9"/>
      <c r="J271" s="9"/>
      <c r="K271" s="9"/>
      <c r="L271" s="9"/>
      <c r="M271" s="9"/>
      <c r="N271" s="9"/>
      <c r="O271" s="9"/>
      <c r="P271" s="9"/>
      <c r="Q271" s="9"/>
    </row>
    <row r="272">
      <c r="A272" s="9"/>
      <c r="B272" s="9"/>
      <c r="C272" s="9"/>
      <c r="D272" s="9"/>
      <c r="E272" s="9"/>
      <c r="F272" s="9"/>
      <c r="G272" s="9"/>
      <c r="H272" s="9"/>
      <c r="I272" s="9"/>
      <c r="J272" s="9"/>
      <c r="K272" s="9"/>
      <c r="L272" s="9"/>
      <c r="M272" s="9"/>
      <c r="N272" s="9"/>
      <c r="O272" s="9"/>
      <c r="P272" s="9"/>
      <c r="Q272" s="9"/>
    </row>
    <row r="273">
      <c r="A273" s="9"/>
      <c r="B273" s="9"/>
      <c r="C273" s="9"/>
      <c r="D273" s="9"/>
      <c r="E273" s="9"/>
      <c r="F273" s="9"/>
      <c r="G273" s="9"/>
      <c r="H273" s="9"/>
      <c r="I273" s="9"/>
      <c r="J273" s="9"/>
      <c r="K273" s="9"/>
      <c r="L273" s="9"/>
      <c r="M273" s="9"/>
      <c r="N273" s="9"/>
      <c r="O273" s="9"/>
      <c r="P273" s="9"/>
      <c r="Q273" s="9"/>
    </row>
    <row r="274">
      <c r="A274" s="9"/>
      <c r="B274" s="9"/>
      <c r="C274" s="9"/>
      <c r="D274" s="9"/>
      <c r="E274" s="9"/>
      <c r="F274" s="9"/>
      <c r="G274" s="9"/>
      <c r="H274" s="9"/>
      <c r="I274" s="9"/>
      <c r="J274" s="9"/>
      <c r="K274" s="9"/>
      <c r="L274" s="9"/>
      <c r="M274" s="9"/>
      <c r="N274" s="9"/>
      <c r="O274" s="9"/>
      <c r="P274" s="9"/>
      <c r="Q274" s="9"/>
    </row>
    <row r="275">
      <c r="A275" s="9"/>
      <c r="B275" s="9"/>
      <c r="C275" s="9"/>
      <c r="D275" s="9"/>
      <c r="E275" s="9"/>
      <c r="F275" s="9"/>
      <c r="G275" s="9"/>
      <c r="H275" s="9"/>
      <c r="I275" s="9"/>
      <c r="J275" s="9"/>
      <c r="K275" s="9"/>
      <c r="L275" s="9"/>
      <c r="M275" s="9"/>
      <c r="N275" s="9"/>
      <c r="O275" s="9"/>
      <c r="P275" s="9"/>
      <c r="Q275" s="9"/>
    </row>
    <row r="276">
      <c r="A276" s="9"/>
      <c r="B276" s="9"/>
      <c r="C276" s="9"/>
      <c r="D276" s="9"/>
      <c r="E276" s="9"/>
      <c r="F276" s="9"/>
      <c r="G276" s="9"/>
      <c r="H276" s="9"/>
      <c r="I276" s="9"/>
      <c r="J276" s="9"/>
      <c r="K276" s="9"/>
      <c r="L276" s="9"/>
      <c r="M276" s="9"/>
      <c r="N276" s="9"/>
      <c r="O276" s="9"/>
      <c r="P276" s="9"/>
      <c r="Q276" s="9"/>
    </row>
    <row r="277">
      <c r="A277" s="9"/>
      <c r="B277" s="9"/>
      <c r="C277" s="9"/>
      <c r="D277" s="9"/>
      <c r="E277" s="9"/>
      <c r="F277" s="9"/>
      <c r="G277" s="9"/>
      <c r="H277" s="9"/>
      <c r="I277" s="9"/>
      <c r="J277" s="9"/>
      <c r="K277" s="9"/>
      <c r="L277" s="9"/>
      <c r="M277" s="9"/>
      <c r="N277" s="9"/>
      <c r="O277" s="9"/>
      <c r="P277" s="9"/>
      <c r="Q277" s="9"/>
    </row>
    <row r="278">
      <c r="A278" s="9"/>
      <c r="B278" s="9"/>
      <c r="C278" s="9"/>
      <c r="D278" s="9"/>
      <c r="E278" s="9"/>
      <c r="F278" s="9"/>
      <c r="G278" s="9"/>
      <c r="H278" s="9"/>
      <c r="I278" s="9"/>
      <c r="J278" s="9"/>
      <c r="K278" s="9"/>
      <c r="L278" s="9"/>
      <c r="M278" s="9"/>
      <c r="N278" s="9"/>
      <c r="O278" s="9"/>
      <c r="P278" s="9"/>
      <c r="Q278" s="9"/>
    </row>
    <row r="279">
      <c r="A279" s="9"/>
      <c r="B279" s="9"/>
      <c r="C279" s="9"/>
      <c r="D279" s="9"/>
      <c r="E279" s="9"/>
      <c r="F279" s="9"/>
      <c r="G279" s="9"/>
      <c r="H279" s="9"/>
      <c r="I279" s="9"/>
      <c r="J279" s="9"/>
      <c r="K279" s="9"/>
      <c r="L279" s="9"/>
      <c r="M279" s="9"/>
      <c r="N279" s="9"/>
      <c r="O279" s="9"/>
      <c r="P279" s="9"/>
      <c r="Q279" s="9"/>
    </row>
    <row r="280">
      <c r="A280" s="9"/>
      <c r="B280" s="9"/>
      <c r="C280" s="9"/>
      <c r="D280" s="9"/>
      <c r="E280" s="9"/>
      <c r="F280" s="9"/>
      <c r="G280" s="9"/>
      <c r="H280" s="9"/>
      <c r="I280" s="9"/>
      <c r="J280" s="9"/>
      <c r="K280" s="9"/>
      <c r="L280" s="9"/>
      <c r="M280" s="9"/>
      <c r="N280" s="9"/>
      <c r="O280" s="9"/>
      <c r="P280" s="9"/>
      <c r="Q280" s="9"/>
    </row>
    <row r="281">
      <c r="A281" s="9"/>
      <c r="B281" s="9"/>
      <c r="C281" s="9"/>
      <c r="D281" s="9"/>
      <c r="E281" s="9"/>
      <c r="F281" s="9"/>
      <c r="G281" s="9"/>
      <c r="H281" s="9"/>
      <c r="I281" s="9"/>
      <c r="J281" s="9"/>
      <c r="K281" s="9"/>
      <c r="L281" s="9"/>
      <c r="M281" s="9"/>
      <c r="N281" s="9"/>
      <c r="O281" s="9"/>
      <c r="P281" s="9"/>
      <c r="Q281" s="9"/>
    </row>
    <row r="282">
      <c r="A282" s="9"/>
      <c r="B282" s="9"/>
      <c r="C282" s="9"/>
      <c r="D282" s="9"/>
      <c r="E282" s="9"/>
      <c r="F282" s="9"/>
      <c r="G282" s="9"/>
      <c r="H282" s="9"/>
      <c r="I282" s="9"/>
      <c r="J282" s="9"/>
      <c r="K282" s="9"/>
      <c r="L282" s="9"/>
      <c r="M282" s="9"/>
      <c r="N282" s="9"/>
      <c r="O282" s="9"/>
      <c r="P282" s="9"/>
      <c r="Q282" s="9"/>
    </row>
    <row r="283">
      <c r="A283" s="9"/>
      <c r="B283" s="9"/>
      <c r="C283" s="9"/>
      <c r="D283" s="9"/>
      <c r="E283" s="9"/>
      <c r="F283" s="9"/>
      <c r="G283" s="9"/>
      <c r="H283" s="9"/>
      <c r="I283" s="9"/>
      <c r="J283" s="9"/>
      <c r="K283" s="9"/>
      <c r="L283" s="9"/>
      <c r="M283" s="9"/>
      <c r="N283" s="9"/>
      <c r="O283" s="9"/>
      <c r="P283" s="9"/>
      <c r="Q283" s="9"/>
    </row>
    <row r="284">
      <c r="A284" s="9"/>
      <c r="B284" s="9"/>
      <c r="C284" s="9"/>
      <c r="D284" s="9"/>
      <c r="E284" s="9"/>
      <c r="F284" s="9"/>
      <c r="G284" s="9"/>
      <c r="H284" s="9"/>
      <c r="I284" s="9"/>
      <c r="J284" s="9"/>
      <c r="K284" s="9"/>
      <c r="L284" s="9"/>
      <c r="M284" s="9"/>
      <c r="N284" s="9"/>
      <c r="O284" s="9"/>
      <c r="P284" s="9"/>
      <c r="Q284" s="9"/>
    </row>
    <row r="285">
      <c r="A285" s="9"/>
      <c r="B285" s="9"/>
      <c r="C285" s="9"/>
      <c r="D285" s="9"/>
      <c r="E285" s="9"/>
      <c r="F285" s="9"/>
      <c r="G285" s="9"/>
      <c r="H285" s="9"/>
      <c r="I285" s="9"/>
      <c r="J285" s="9"/>
      <c r="K285" s="9"/>
      <c r="L285" s="9"/>
      <c r="M285" s="9"/>
      <c r="N285" s="9"/>
      <c r="O285" s="9"/>
      <c r="P285" s="9"/>
      <c r="Q285" s="9"/>
    </row>
    <row r="286">
      <c r="A286" s="9"/>
      <c r="B286" s="9"/>
      <c r="C286" s="9"/>
      <c r="D286" s="9"/>
      <c r="E286" s="9"/>
      <c r="F286" s="9"/>
      <c r="G286" s="9"/>
      <c r="H286" s="9"/>
      <c r="I286" s="9"/>
      <c r="J286" s="9"/>
      <c r="K286" s="9"/>
      <c r="L286" s="9"/>
      <c r="M286" s="9"/>
      <c r="N286" s="9"/>
      <c r="O286" s="9"/>
      <c r="P286" s="9"/>
      <c r="Q286" s="9"/>
    </row>
    <row r="287">
      <c r="A287" s="9"/>
      <c r="B287" s="9"/>
      <c r="C287" s="9"/>
      <c r="D287" s="9"/>
      <c r="E287" s="9"/>
      <c r="F287" s="9"/>
      <c r="G287" s="9"/>
      <c r="H287" s="9"/>
      <c r="I287" s="9"/>
      <c r="J287" s="9"/>
      <c r="K287" s="9"/>
      <c r="L287" s="9"/>
      <c r="M287" s="9"/>
      <c r="N287" s="9"/>
      <c r="O287" s="9"/>
      <c r="P287" s="9"/>
      <c r="Q287" s="9"/>
    </row>
    <row r="288">
      <c r="A288" s="9"/>
      <c r="B288" s="9"/>
      <c r="C288" s="9"/>
      <c r="D288" s="9"/>
      <c r="E288" s="9"/>
      <c r="F288" s="9"/>
      <c r="G288" s="9"/>
      <c r="H288" s="9"/>
      <c r="I288" s="9"/>
      <c r="J288" s="9"/>
      <c r="K288" s="9"/>
      <c r="L288" s="9"/>
      <c r="M288" s="9"/>
      <c r="N288" s="9"/>
      <c r="O288" s="9"/>
      <c r="P288" s="9"/>
      <c r="Q288" s="9"/>
    </row>
    <row r="289">
      <c r="A289" s="9"/>
      <c r="B289" s="9"/>
      <c r="C289" s="9"/>
      <c r="D289" s="9"/>
      <c r="E289" s="9"/>
      <c r="F289" s="9"/>
      <c r="G289" s="9"/>
      <c r="H289" s="9"/>
      <c r="I289" s="9"/>
      <c r="J289" s="9"/>
      <c r="K289" s="9"/>
      <c r="L289" s="9"/>
      <c r="M289" s="9"/>
      <c r="N289" s="9"/>
      <c r="O289" s="9"/>
      <c r="P289" s="9"/>
      <c r="Q289" s="9"/>
    </row>
    <row r="290">
      <c r="A290" s="9"/>
      <c r="B290" s="9"/>
      <c r="C290" s="9"/>
      <c r="D290" s="9"/>
      <c r="E290" s="9"/>
      <c r="F290" s="9"/>
      <c r="G290" s="9"/>
      <c r="H290" s="9"/>
      <c r="I290" s="9"/>
      <c r="J290" s="9"/>
      <c r="K290" s="9"/>
      <c r="L290" s="9"/>
      <c r="M290" s="9"/>
      <c r="N290" s="9"/>
      <c r="O290" s="9"/>
      <c r="P290" s="9"/>
      <c r="Q290" s="9"/>
    </row>
    <row r="291">
      <c r="A291" s="9"/>
      <c r="B291" s="9"/>
      <c r="C291" s="9"/>
      <c r="D291" s="9"/>
      <c r="E291" s="9"/>
      <c r="F291" s="9"/>
      <c r="G291" s="9"/>
      <c r="H291" s="9"/>
      <c r="I291" s="9"/>
      <c r="J291" s="9"/>
      <c r="K291" s="9"/>
      <c r="L291" s="9"/>
      <c r="M291" s="9"/>
      <c r="N291" s="9"/>
      <c r="O291" s="9"/>
      <c r="P291" s="9"/>
      <c r="Q291" s="9"/>
    </row>
    <row r="292">
      <c r="A292" s="9"/>
      <c r="B292" s="9"/>
      <c r="C292" s="9"/>
      <c r="D292" s="9"/>
      <c r="E292" s="9"/>
      <c r="F292" s="9"/>
      <c r="G292" s="9"/>
      <c r="H292" s="9"/>
      <c r="I292" s="9"/>
      <c r="J292" s="9"/>
      <c r="K292" s="9"/>
      <c r="L292" s="9"/>
      <c r="M292" s="9"/>
      <c r="N292" s="9"/>
      <c r="O292" s="9"/>
      <c r="P292" s="9"/>
      <c r="Q292" s="9"/>
    </row>
    <row r="293">
      <c r="A293" s="9"/>
      <c r="B293" s="9"/>
      <c r="C293" s="9"/>
      <c r="D293" s="9"/>
      <c r="E293" s="9"/>
      <c r="F293" s="9"/>
      <c r="G293" s="9"/>
      <c r="H293" s="9"/>
      <c r="I293" s="9"/>
      <c r="J293" s="9"/>
      <c r="K293" s="9"/>
      <c r="L293" s="9"/>
      <c r="M293" s="9"/>
      <c r="N293" s="9"/>
      <c r="O293" s="9"/>
      <c r="P293" s="9"/>
      <c r="Q293" s="9"/>
    </row>
    <row r="294">
      <c r="A294" s="9"/>
      <c r="B294" s="9"/>
      <c r="C294" s="9"/>
      <c r="D294" s="9"/>
      <c r="E294" s="9"/>
      <c r="F294" s="9"/>
      <c r="G294" s="9"/>
      <c r="H294" s="9"/>
      <c r="I294" s="9"/>
      <c r="J294" s="9"/>
      <c r="K294" s="9"/>
      <c r="L294" s="9"/>
      <c r="M294" s="9"/>
      <c r="N294" s="9"/>
      <c r="O294" s="9"/>
      <c r="P294" s="9"/>
      <c r="Q294" s="9"/>
    </row>
    <row r="295">
      <c r="A295" s="9"/>
      <c r="B295" s="9"/>
      <c r="C295" s="9"/>
      <c r="D295" s="9"/>
      <c r="E295" s="9"/>
      <c r="F295" s="9"/>
      <c r="G295" s="9"/>
      <c r="H295" s="9"/>
      <c r="I295" s="9"/>
      <c r="J295" s="9"/>
      <c r="K295" s="9"/>
      <c r="L295" s="9"/>
      <c r="M295" s="9"/>
      <c r="N295" s="9"/>
      <c r="O295" s="9"/>
      <c r="P295" s="9"/>
      <c r="Q295" s="9"/>
    </row>
    <row r="296">
      <c r="A296" s="9"/>
      <c r="B296" s="9"/>
      <c r="C296" s="9"/>
      <c r="D296" s="9"/>
      <c r="E296" s="9"/>
      <c r="F296" s="9"/>
      <c r="G296" s="9"/>
      <c r="H296" s="9"/>
      <c r="I296" s="9"/>
      <c r="J296" s="9"/>
      <c r="K296" s="9"/>
      <c r="L296" s="9"/>
      <c r="M296" s="9"/>
      <c r="N296" s="9"/>
      <c r="O296" s="9"/>
      <c r="P296" s="9"/>
      <c r="Q296" s="9"/>
    </row>
    <row r="297">
      <c r="A297" s="9"/>
      <c r="B297" s="9"/>
      <c r="C297" s="9"/>
      <c r="D297" s="9"/>
      <c r="E297" s="9"/>
      <c r="F297" s="9"/>
      <c r="G297" s="9"/>
      <c r="H297" s="9"/>
      <c r="I297" s="9"/>
      <c r="J297" s="9"/>
      <c r="K297" s="9"/>
      <c r="L297" s="9"/>
      <c r="M297" s="9"/>
      <c r="N297" s="9"/>
      <c r="O297" s="9"/>
      <c r="P297" s="9"/>
      <c r="Q297" s="9"/>
    </row>
    <row r="298">
      <c r="A298" s="9"/>
      <c r="B298" s="9"/>
      <c r="C298" s="9"/>
      <c r="D298" s="9"/>
      <c r="E298" s="9"/>
      <c r="F298" s="9"/>
      <c r="G298" s="9"/>
      <c r="H298" s="9"/>
      <c r="I298" s="9"/>
      <c r="J298" s="9"/>
      <c r="K298" s="9"/>
      <c r="L298" s="9"/>
      <c r="M298" s="9"/>
      <c r="N298" s="9"/>
      <c r="O298" s="9"/>
      <c r="P298" s="9"/>
      <c r="Q298" s="9"/>
    </row>
    <row r="299">
      <c r="A299" s="9"/>
      <c r="B299" s="9"/>
      <c r="C299" s="9"/>
      <c r="D299" s="9"/>
      <c r="E299" s="9"/>
      <c r="F299" s="9"/>
      <c r="G299" s="9"/>
      <c r="H299" s="9"/>
      <c r="I299" s="9"/>
      <c r="J299" s="9"/>
      <c r="K299" s="9"/>
      <c r="L299" s="9"/>
      <c r="M299" s="9"/>
      <c r="N299" s="9"/>
      <c r="O299" s="9"/>
      <c r="P299" s="9"/>
      <c r="Q299" s="9"/>
    </row>
    <row r="300">
      <c r="A300" s="9"/>
      <c r="B300" s="9"/>
      <c r="C300" s="9"/>
      <c r="D300" s="9"/>
      <c r="E300" s="9"/>
      <c r="F300" s="9"/>
      <c r="G300" s="9"/>
      <c r="H300" s="9"/>
      <c r="I300" s="9"/>
      <c r="J300" s="9"/>
      <c r="K300" s="9"/>
      <c r="L300" s="9"/>
      <c r="M300" s="9"/>
      <c r="N300" s="9"/>
      <c r="O300" s="9"/>
      <c r="P300" s="9"/>
      <c r="Q300" s="9"/>
    </row>
    <row r="301">
      <c r="A301" s="9"/>
      <c r="B301" s="9"/>
      <c r="C301" s="9"/>
      <c r="D301" s="9"/>
      <c r="E301" s="9"/>
      <c r="F301" s="9"/>
      <c r="G301" s="9"/>
      <c r="H301" s="9"/>
      <c r="I301" s="9"/>
      <c r="J301" s="9"/>
      <c r="K301" s="9"/>
      <c r="L301" s="9"/>
      <c r="M301" s="9"/>
      <c r="N301" s="9"/>
      <c r="O301" s="9"/>
      <c r="P301" s="9"/>
      <c r="Q301" s="9"/>
    </row>
    <row r="302">
      <c r="A302" s="9"/>
      <c r="B302" s="9"/>
      <c r="C302" s="9"/>
      <c r="D302" s="9"/>
      <c r="E302" s="9"/>
      <c r="F302" s="9"/>
      <c r="G302" s="9"/>
      <c r="H302" s="9"/>
      <c r="I302" s="9"/>
      <c r="J302" s="9"/>
      <c r="K302" s="9"/>
      <c r="L302" s="9"/>
      <c r="M302" s="9"/>
      <c r="N302" s="9"/>
      <c r="O302" s="9"/>
      <c r="P302" s="9"/>
      <c r="Q302" s="9"/>
    </row>
    <row r="303">
      <c r="A303" s="9"/>
      <c r="B303" s="9"/>
      <c r="C303" s="9"/>
      <c r="D303" s="9"/>
      <c r="E303" s="9"/>
      <c r="F303" s="9"/>
      <c r="G303" s="9"/>
      <c r="H303" s="9"/>
      <c r="I303" s="9"/>
      <c r="J303" s="9"/>
      <c r="K303" s="9"/>
      <c r="L303" s="9"/>
      <c r="M303" s="9"/>
      <c r="N303" s="9"/>
      <c r="O303" s="9"/>
      <c r="P303" s="9"/>
      <c r="Q303" s="9"/>
    </row>
    <row r="304">
      <c r="A304" s="9"/>
      <c r="B304" s="9"/>
      <c r="C304" s="9"/>
      <c r="D304" s="9"/>
      <c r="E304" s="9"/>
      <c r="F304" s="9"/>
      <c r="G304" s="9"/>
      <c r="H304" s="9"/>
      <c r="I304" s="9"/>
      <c r="J304" s="9"/>
      <c r="K304" s="9"/>
      <c r="L304" s="9"/>
      <c r="M304" s="9"/>
      <c r="N304" s="9"/>
      <c r="O304" s="9"/>
      <c r="P304" s="9"/>
      <c r="Q304" s="9"/>
    </row>
    <row r="305">
      <c r="A305" s="9"/>
      <c r="B305" s="9"/>
      <c r="C305" s="9"/>
      <c r="D305" s="9"/>
      <c r="E305" s="9"/>
      <c r="F305" s="9"/>
      <c r="G305" s="9"/>
      <c r="H305" s="9"/>
      <c r="I305" s="9"/>
      <c r="J305" s="9"/>
      <c r="K305" s="9"/>
      <c r="L305" s="9"/>
      <c r="M305" s="9"/>
      <c r="N305" s="9"/>
      <c r="O305" s="9"/>
      <c r="P305" s="9"/>
      <c r="Q305" s="9"/>
    </row>
    <row r="306">
      <c r="A306" s="9"/>
      <c r="B306" s="9"/>
      <c r="C306" s="9"/>
      <c r="D306" s="9"/>
      <c r="E306" s="9"/>
      <c r="F306" s="9"/>
      <c r="G306" s="9"/>
      <c r="H306" s="9"/>
      <c r="I306" s="9"/>
      <c r="J306" s="9"/>
      <c r="K306" s="9"/>
      <c r="L306" s="9"/>
      <c r="M306" s="9"/>
      <c r="N306" s="9"/>
      <c r="O306" s="9"/>
      <c r="P306" s="9"/>
      <c r="Q306" s="9"/>
    </row>
    <row r="307">
      <c r="A307" s="9"/>
      <c r="B307" s="9"/>
      <c r="C307" s="9"/>
      <c r="D307" s="9"/>
      <c r="E307" s="9"/>
      <c r="F307" s="9"/>
      <c r="G307" s="9"/>
      <c r="H307" s="9"/>
      <c r="I307" s="9"/>
      <c r="J307" s="9"/>
      <c r="K307" s="9"/>
      <c r="L307" s="9"/>
      <c r="M307" s="9"/>
      <c r="N307" s="9"/>
      <c r="O307" s="9"/>
      <c r="P307" s="9"/>
      <c r="Q307" s="9"/>
    </row>
    <row r="308">
      <c r="A308" s="9"/>
      <c r="B308" s="9"/>
      <c r="C308" s="9"/>
      <c r="D308" s="9"/>
      <c r="E308" s="9"/>
      <c r="F308" s="9"/>
      <c r="G308" s="9"/>
      <c r="H308" s="9"/>
      <c r="I308" s="9"/>
      <c r="J308" s="9"/>
      <c r="K308" s="9"/>
      <c r="L308" s="9"/>
      <c r="M308" s="9"/>
      <c r="N308" s="9"/>
      <c r="O308" s="9"/>
      <c r="P308" s="9"/>
      <c r="Q308" s="9"/>
    </row>
    <row r="309">
      <c r="A309" s="9"/>
      <c r="B309" s="9"/>
      <c r="C309" s="9"/>
      <c r="D309" s="9"/>
      <c r="E309" s="9"/>
      <c r="F309" s="9"/>
      <c r="G309" s="9"/>
      <c r="H309" s="9"/>
      <c r="I309" s="9"/>
      <c r="J309" s="9"/>
      <c r="K309" s="9"/>
      <c r="L309" s="9"/>
      <c r="M309" s="9"/>
      <c r="N309" s="9"/>
      <c r="O309" s="9"/>
      <c r="P309" s="9"/>
      <c r="Q309" s="9"/>
    </row>
    <row r="310">
      <c r="A310" s="9"/>
      <c r="B310" s="9"/>
      <c r="C310" s="9"/>
      <c r="D310" s="9"/>
      <c r="E310" s="9"/>
      <c r="F310" s="9"/>
      <c r="G310" s="9"/>
      <c r="H310" s="9"/>
      <c r="I310" s="9"/>
      <c r="J310" s="9"/>
      <c r="K310" s="9"/>
      <c r="L310" s="9"/>
      <c r="M310" s="9"/>
      <c r="N310" s="9"/>
      <c r="O310" s="9"/>
      <c r="P310" s="9"/>
      <c r="Q310" s="9"/>
    </row>
    <row r="311">
      <c r="A311" s="9"/>
      <c r="B311" s="9"/>
      <c r="C311" s="9"/>
      <c r="D311" s="9"/>
      <c r="E311" s="9"/>
      <c r="F311" s="9"/>
      <c r="G311" s="9"/>
      <c r="H311" s="9"/>
      <c r="I311" s="9"/>
      <c r="J311" s="9"/>
      <c r="K311" s="9"/>
      <c r="L311" s="9"/>
      <c r="M311" s="9"/>
      <c r="N311" s="9"/>
      <c r="O311" s="9"/>
      <c r="P311" s="9"/>
      <c r="Q311" s="9"/>
    </row>
    <row r="312">
      <c r="A312" s="9"/>
      <c r="B312" s="9"/>
      <c r="C312" s="9"/>
      <c r="D312" s="9"/>
      <c r="E312" s="9"/>
      <c r="F312" s="9"/>
      <c r="G312" s="9"/>
      <c r="H312" s="9"/>
      <c r="I312" s="9"/>
      <c r="J312" s="9"/>
      <c r="K312" s="9"/>
      <c r="L312" s="9"/>
      <c r="M312" s="9"/>
      <c r="N312" s="9"/>
      <c r="O312" s="9"/>
      <c r="P312" s="9"/>
      <c r="Q312" s="9"/>
    </row>
    <row r="313">
      <c r="A313" s="9"/>
      <c r="B313" s="9"/>
      <c r="C313" s="9"/>
      <c r="D313" s="9"/>
      <c r="E313" s="9"/>
      <c r="F313" s="9"/>
      <c r="G313" s="9"/>
      <c r="H313" s="9"/>
      <c r="I313" s="9"/>
      <c r="J313" s="9"/>
      <c r="K313" s="9"/>
      <c r="L313" s="9"/>
      <c r="M313" s="9"/>
      <c r="N313" s="9"/>
      <c r="O313" s="9"/>
      <c r="P313" s="9"/>
      <c r="Q313" s="9"/>
    </row>
    <row r="314">
      <c r="A314" s="9"/>
      <c r="B314" s="9"/>
      <c r="C314" s="9"/>
      <c r="D314" s="9"/>
      <c r="E314" s="9"/>
      <c r="F314" s="9"/>
      <c r="G314" s="9"/>
      <c r="H314" s="9"/>
      <c r="I314" s="9"/>
      <c r="J314" s="9"/>
      <c r="K314" s="9"/>
      <c r="L314" s="9"/>
      <c r="M314" s="9"/>
      <c r="N314" s="9"/>
      <c r="O314" s="9"/>
      <c r="P314" s="9"/>
      <c r="Q314" s="9"/>
    </row>
    <row r="315">
      <c r="A315" s="9"/>
      <c r="B315" s="9"/>
      <c r="C315" s="9"/>
      <c r="D315" s="9"/>
      <c r="E315" s="9"/>
      <c r="F315" s="9"/>
      <c r="G315" s="9"/>
      <c r="H315" s="9"/>
      <c r="I315" s="9"/>
      <c r="J315" s="9"/>
      <c r="K315" s="9"/>
      <c r="L315" s="9"/>
      <c r="M315" s="9"/>
      <c r="N315" s="9"/>
      <c r="O315" s="9"/>
      <c r="P315" s="9"/>
      <c r="Q315" s="9"/>
    </row>
    <row r="316">
      <c r="A316" s="9"/>
      <c r="B316" s="9"/>
      <c r="C316" s="9"/>
      <c r="D316" s="9"/>
      <c r="E316" s="9"/>
      <c r="F316" s="9"/>
      <c r="G316" s="9"/>
      <c r="H316" s="9"/>
      <c r="I316" s="9"/>
      <c r="J316" s="9"/>
      <c r="K316" s="9"/>
      <c r="L316" s="9"/>
      <c r="M316" s="9"/>
      <c r="N316" s="9"/>
      <c r="O316" s="9"/>
      <c r="P316" s="9"/>
      <c r="Q316" s="9"/>
    </row>
    <row r="317">
      <c r="A317" s="9"/>
      <c r="B317" s="9"/>
      <c r="C317" s="9"/>
      <c r="D317" s="9"/>
      <c r="E317" s="9"/>
      <c r="F317" s="9"/>
      <c r="G317" s="9"/>
      <c r="H317" s="9"/>
      <c r="I317" s="9"/>
      <c r="J317" s="9"/>
      <c r="K317" s="9"/>
      <c r="L317" s="9"/>
      <c r="M317" s="9"/>
      <c r="N317" s="9"/>
      <c r="O317" s="9"/>
      <c r="P317" s="9"/>
      <c r="Q317" s="9"/>
    </row>
    <row r="318">
      <c r="A318" s="9"/>
      <c r="B318" s="9"/>
      <c r="C318" s="9"/>
      <c r="D318" s="9"/>
      <c r="E318" s="9"/>
      <c r="F318" s="9"/>
      <c r="G318" s="9"/>
      <c r="H318" s="9"/>
      <c r="I318" s="9"/>
      <c r="J318" s="9"/>
      <c r="K318" s="9"/>
      <c r="L318" s="9"/>
      <c r="M318" s="9"/>
      <c r="N318" s="9"/>
      <c r="O318" s="9"/>
      <c r="P318" s="9"/>
      <c r="Q318" s="9"/>
    </row>
    <row r="319">
      <c r="A319" s="9"/>
      <c r="B319" s="9"/>
      <c r="C319" s="9"/>
      <c r="D319" s="9"/>
      <c r="E319" s="9"/>
      <c r="F319" s="9"/>
      <c r="G319" s="9"/>
      <c r="H319" s="9"/>
      <c r="I319" s="9"/>
      <c r="J319" s="9"/>
      <c r="K319" s="9"/>
      <c r="L319" s="9"/>
      <c r="M319" s="9"/>
      <c r="N319" s="9"/>
      <c r="O319" s="9"/>
      <c r="P319" s="9"/>
      <c r="Q319" s="9"/>
    </row>
    <row r="320">
      <c r="A320" s="9"/>
      <c r="B320" s="9"/>
      <c r="C320" s="9"/>
      <c r="D320" s="9"/>
      <c r="E320" s="9"/>
      <c r="F320" s="9"/>
      <c r="G320" s="9"/>
      <c r="H320" s="9"/>
      <c r="I320" s="9"/>
      <c r="J320" s="9"/>
      <c r="K320" s="9"/>
      <c r="L320" s="9"/>
      <c r="M320" s="9"/>
      <c r="N320" s="9"/>
      <c r="O320" s="9"/>
      <c r="P320" s="9"/>
      <c r="Q320" s="9"/>
    </row>
    <row r="321">
      <c r="A321" s="9"/>
      <c r="B321" s="9"/>
      <c r="C321" s="9"/>
      <c r="D321" s="9"/>
      <c r="E321" s="9"/>
      <c r="F321" s="9"/>
      <c r="G321" s="9"/>
      <c r="H321" s="9"/>
      <c r="I321" s="9"/>
      <c r="J321" s="9"/>
      <c r="K321" s="9"/>
      <c r="L321" s="9"/>
      <c r="M321" s="9"/>
      <c r="N321" s="9"/>
      <c r="O321" s="9"/>
      <c r="P321" s="9"/>
      <c r="Q321" s="9"/>
    </row>
    <row r="322">
      <c r="A322" s="9"/>
      <c r="B322" s="9"/>
      <c r="C322" s="9"/>
      <c r="D322" s="9"/>
      <c r="E322" s="9"/>
      <c r="F322" s="9"/>
      <c r="G322" s="9"/>
      <c r="H322" s="9"/>
      <c r="I322" s="9"/>
      <c r="J322" s="9"/>
      <c r="K322" s="9"/>
      <c r="L322" s="9"/>
      <c r="M322" s="9"/>
      <c r="N322" s="9"/>
      <c r="O322" s="9"/>
      <c r="P322" s="9"/>
      <c r="Q322" s="9"/>
    </row>
    <row r="323">
      <c r="A323" s="9"/>
      <c r="B323" s="9"/>
      <c r="C323" s="9"/>
      <c r="D323" s="9"/>
      <c r="E323" s="9"/>
      <c r="F323" s="9"/>
      <c r="G323" s="9"/>
      <c r="H323" s="9"/>
      <c r="I323" s="9"/>
      <c r="J323" s="9"/>
      <c r="K323" s="9"/>
      <c r="L323" s="9"/>
      <c r="M323" s="9"/>
      <c r="N323" s="9"/>
      <c r="O323" s="9"/>
      <c r="P323" s="9"/>
      <c r="Q323" s="9"/>
    </row>
    <row r="324">
      <c r="A324" s="9"/>
      <c r="B324" s="9"/>
      <c r="C324" s="9"/>
      <c r="D324" s="9"/>
      <c r="E324" s="9"/>
      <c r="F324" s="9"/>
      <c r="G324" s="9"/>
      <c r="H324" s="9"/>
      <c r="I324" s="9"/>
      <c r="J324" s="9"/>
      <c r="K324" s="9"/>
      <c r="L324" s="9"/>
      <c r="M324" s="9"/>
      <c r="N324" s="9"/>
      <c r="O324" s="9"/>
      <c r="P324" s="9"/>
      <c r="Q324" s="9"/>
    </row>
    <row r="325">
      <c r="A325" s="9"/>
      <c r="B325" s="9"/>
      <c r="C325" s="9"/>
      <c r="D325" s="9"/>
      <c r="E325" s="9"/>
      <c r="F325" s="9"/>
      <c r="G325" s="9"/>
      <c r="H325" s="9"/>
      <c r="I325" s="9"/>
      <c r="J325" s="9"/>
      <c r="K325" s="9"/>
      <c r="L325" s="9"/>
      <c r="M325" s="9"/>
      <c r="N325" s="9"/>
      <c r="O325" s="9"/>
      <c r="P325" s="9"/>
      <c r="Q325" s="9"/>
    </row>
    <row r="326">
      <c r="A326" s="9"/>
      <c r="B326" s="9"/>
      <c r="C326" s="9"/>
      <c r="D326" s="9"/>
      <c r="E326" s="9"/>
      <c r="F326" s="9"/>
      <c r="G326" s="9"/>
      <c r="H326" s="9"/>
      <c r="I326" s="9"/>
      <c r="J326" s="9"/>
      <c r="K326" s="9"/>
      <c r="L326" s="9"/>
      <c r="M326" s="9"/>
      <c r="N326" s="9"/>
      <c r="O326" s="9"/>
      <c r="P326" s="9"/>
      <c r="Q326" s="9"/>
    </row>
    <row r="327">
      <c r="A327" s="9"/>
      <c r="B327" s="9"/>
      <c r="C327" s="9"/>
      <c r="D327" s="9"/>
      <c r="E327" s="9"/>
      <c r="F327" s="9"/>
      <c r="G327" s="9"/>
      <c r="H327" s="9"/>
      <c r="I327" s="9"/>
      <c r="J327" s="9"/>
      <c r="K327" s="9"/>
      <c r="L327" s="9"/>
      <c r="M327" s="9"/>
      <c r="N327" s="9"/>
      <c r="O327" s="9"/>
      <c r="P327" s="9"/>
      <c r="Q327" s="9"/>
    </row>
    <row r="328">
      <c r="A328" s="9"/>
      <c r="B328" s="9"/>
      <c r="C328" s="9"/>
      <c r="D328" s="9"/>
      <c r="E328" s="9"/>
      <c r="F328" s="9"/>
      <c r="G328" s="9"/>
      <c r="H328" s="9"/>
      <c r="I328" s="9"/>
      <c r="J328" s="9"/>
      <c r="K328" s="9"/>
      <c r="L328" s="9"/>
      <c r="M328" s="9"/>
      <c r="N328" s="9"/>
      <c r="O328" s="9"/>
      <c r="P328" s="9"/>
      <c r="Q328" s="9"/>
    </row>
    <row r="329">
      <c r="A329" s="9"/>
      <c r="B329" s="9"/>
      <c r="C329" s="9"/>
      <c r="D329" s="9"/>
      <c r="E329" s="9"/>
      <c r="F329" s="9"/>
      <c r="G329" s="9"/>
      <c r="H329" s="9"/>
      <c r="I329" s="9"/>
      <c r="J329" s="9"/>
      <c r="K329" s="9"/>
      <c r="L329" s="9"/>
      <c r="M329" s="9"/>
      <c r="N329" s="9"/>
      <c r="O329" s="9"/>
      <c r="P329" s="9"/>
      <c r="Q329" s="9"/>
    </row>
    <row r="330">
      <c r="A330" s="9"/>
      <c r="B330" s="9"/>
      <c r="C330" s="9"/>
      <c r="D330" s="9"/>
      <c r="E330" s="9"/>
      <c r="F330" s="9"/>
      <c r="G330" s="9"/>
      <c r="H330" s="9"/>
      <c r="I330" s="9"/>
      <c r="J330" s="9"/>
      <c r="K330" s="9"/>
      <c r="L330" s="9"/>
      <c r="M330" s="9"/>
      <c r="N330" s="9"/>
      <c r="O330" s="9"/>
      <c r="P330" s="9"/>
      <c r="Q330" s="9"/>
    </row>
  </sheetData>
  <autoFilter ref="$A$1:$Q$232"/>
  <hyperlinks>
    <hyperlink r:id="rId1" ref="P47"/>
    <hyperlink r:id="rId2" ref="P48"/>
    <hyperlink r:id="rId3" ref="P49"/>
    <hyperlink r:id="rId4" ref="P52"/>
    <hyperlink r:id="rId5" ref="P53"/>
    <hyperlink r:id="rId6" ref="P58"/>
    <hyperlink r:id="rId7" ref="P64"/>
    <hyperlink r:id="rId8" ref="P74"/>
    <hyperlink r:id="rId9" ref="P87"/>
    <hyperlink r:id="rId10" ref="P88"/>
    <hyperlink r:id="rId11" ref="P89"/>
    <hyperlink r:id="rId12" ref="P91"/>
    <hyperlink r:id="rId13" ref="P100"/>
    <hyperlink r:id="rId14" ref="P129"/>
    <hyperlink r:id="rId15" ref="P140"/>
    <hyperlink r:id="rId16" ref="P175"/>
    <hyperlink r:id="rId17" ref="P177"/>
    <hyperlink r:id="rId18" ref="P178"/>
    <hyperlink r:id="rId19" ref="P183"/>
    <hyperlink r:id="rId20" ref="P218"/>
    <hyperlink r:id="rId21" ref="P223"/>
  </hyperlinks>
  <drawing r:id="rId2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0.0"/>
    <col customWidth="1" min="3" max="3" width="8.5"/>
    <col customWidth="1" min="4" max="4" width="16.88"/>
    <col hidden="1" min="6" max="6" width="12.63"/>
    <col customWidth="1" min="7" max="7" width="17.13"/>
    <col customWidth="1" min="8" max="8" width="23.0"/>
    <col customWidth="1" min="9" max="9" width="20.0"/>
    <col customWidth="1" min="10" max="10" width="15.38"/>
    <col customWidth="1" min="11" max="11" width="69.75"/>
    <col customWidth="1" min="12" max="12" width="24.38"/>
  </cols>
  <sheetData>
    <row r="1">
      <c r="A1" s="13" t="s">
        <v>381</v>
      </c>
      <c r="B1" s="13" t="s">
        <v>1</v>
      </c>
      <c r="C1" s="13" t="s">
        <v>382</v>
      </c>
      <c r="D1" s="13" t="s">
        <v>383</v>
      </c>
      <c r="E1" s="13" t="s">
        <v>384</v>
      </c>
      <c r="F1" s="13" t="s">
        <v>385</v>
      </c>
      <c r="G1" s="13" t="s">
        <v>386</v>
      </c>
      <c r="H1" s="13" t="s">
        <v>387</v>
      </c>
      <c r="I1" s="13" t="s">
        <v>388</v>
      </c>
      <c r="J1" s="14" t="s">
        <v>389</v>
      </c>
      <c r="K1" s="13" t="s">
        <v>390</v>
      </c>
      <c r="L1" s="13" t="s">
        <v>391</v>
      </c>
    </row>
    <row r="2">
      <c r="A2" s="9">
        <f t="shared" ref="A2:A197" si="1">ROW()-1</f>
        <v>1</v>
      </c>
      <c r="B2" s="1">
        <v>1.22000002E8</v>
      </c>
      <c r="C2" s="9" t="str">
        <f>VLOOKUP(B2,students!$B$2:$I$197,2,0)</f>
        <v>22CT111</v>
      </c>
      <c r="D2" s="9" t="str">
        <f>VLOOKUP(B2,students!$B$2:$I$197,3,0)</f>
        <v>Nguyễn Hoàng</v>
      </c>
      <c r="E2" s="9" t="str">
        <f>VLOOKUP(B2,students!$B$2:$I$197,4,0)</f>
        <v>Quốc</v>
      </c>
      <c r="F2" s="15">
        <f>VLOOKUP(B2,students!$B$2:$I$197,7,0)</f>
        <v>939439479</v>
      </c>
      <c r="G2" s="9" t="str">
        <f>if(ISNA(VLOOKUP(B2,F_DangKiGiaoVien!$C$2:$Q999,2,0)),"Chưa ĐK","Đã ĐK")</f>
        <v>Đã ĐK</v>
      </c>
      <c r="H2" s="9" t="str">
        <f>if(ISNA(VLOOKUP(B2,F_DangKiGiaoVien!$C$2:$Q999,5,0)),"",VLOOKUP(B2,F_DangKiGiaoVien!$C$2:$Q999,5,0))</f>
        <v>Thực hiện đồ án tốt nghiệp</v>
      </c>
      <c r="I2" s="9" t="str">
        <f>if(ISNA(VLOOKUP(B2,F_DangKiGiaoVien!$C$2:$Q999,2,0)),"",VLOOKUP(B2,F_DangKiGiaoVien!$C$2:$Q999,6,0))</f>
        <v>Nguyễn Vũ Duy Quang</v>
      </c>
      <c r="J2" s="1" t="s">
        <v>392</v>
      </c>
      <c r="K2" s="9" t="str">
        <f>if(ISNA(VLOOKUP(B2,F_DangKiGiaoVien!$C$2:$Q999,2,0)),"",VLOOKUP(B2,F_DangKiGiaoVien!$C$2:$Q999,8,0))</f>
        <v>Tích hợp Chatbot vào website giúp chốt đơn tự động</v>
      </c>
    </row>
    <row r="3">
      <c r="A3" s="9">
        <f t="shared" si="1"/>
        <v>2</v>
      </c>
      <c r="B3" s="1">
        <v>1.22000015E8</v>
      </c>
      <c r="C3" s="9" t="str">
        <f>VLOOKUP(B3,students!$B$2:$I$197,2,0)</f>
        <v>22CT111</v>
      </c>
      <c r="D3" s="9" t="str">
        <f>VLOOKUP(B3,students!$B$2:$I$197,3,0)</f>
        <v>Mai Trung Hoài</v>
      </c>
      <c r="E3" s="9" t="str">
        <f>VLOOKUP(B3,students!$B$2:$I$197,4,0)</f>
        <v>Phong</v>
      </c>
      <c r="F3" s="15">
        <f>VLOOKUP(B3,students!$B$2:$I$197,7,0)</f>
        <v>824997687</v>
      </c>
      <c r="G3" s="9" t="str">
        <f>if(ISNA(VLOOKUP(B3,F_DangKiGiaoVien!$C$2:$Q999,2,0)),"Chưa ĐK","Đã ĐK")</f>
        <v>Chưa ĐK</v>
      </c>
      <c r="H3" s="9" t="str">
        <f>if(ISNA(VLOOKUP(B3,F_DangKiGiaoVien!$C$2:$Q999,5,0)),"",VLOOKUP(B3,F_DangKiGiaoVien!$C$2:$Q999,5,0))</f>
        <v/>
      </c>
      <c r="I3" s="9" t="str">
        <f>if(ISNA(VLOOKUP(B3,F_DangKiGiaoVien!$C$2:$Q999,2,0)),"",VLOOKUP(B3,F_DangKiGiaoVien!$C$2:$Q999,6,0))</f>
        <v/>
      </c>
      <c r="J3" s="9"/>
      <c r="K3" s="9" t="str">
        <f>if(ISNA(VLOOKUP(B3,F_DangKiGiaoVien!$C$2:$Q999,2,0)),"",VLOOKUP(B3,F_DangKiGiaoVien!$C$2:$Q999,8,0))</f>
        <v/>
      </c>
    </row>
    <row r="4">
      <c r="A4" s="9">
        <f t="shared" si="1"/>
        <v>3</v>
      </c>
      <c r="B4" s="1">
        <v>1.22000057E8</v>
      </c>
      <c r="C4" s="9" t="str">
        <f>VLOOKUP(B4,students!$B$2:$I$197,2,0)</f>
        <v>22CT111</v>
      </c>
      <c r="D4" s="9" t="str">
        <f>VLOOKUP(B4,students!$B$2:$I$197,3,0)</f>
        <v>Diệp Thị Mỹ</v>
      </c>
      <c r="E4" s="9" t="str">
        <f>VLOOKUP(B4,students!$B$2:$I$197,4,0)</f>
        <v>Hằng</v>
      </c>
      <c r="F4" s="15">
        <f>VLOOKUP(B4,students!$B$2:$I$197,7,0)</f>
        <v>937018921</v>
      </c>
      <c r="G4" s="9" t="str">
        <f>if(ISNA(VLOOKUP(B4,F_DangKiGiaoVien!$C$2:$Q999,2,0)),"Chưa ĐK","Đã ĐK")</f>
        <v>Đã ĐK</v>
      </c>
      <c r="H4" s="9" t="str">
        <f>if(ISNA(VLOOKUP(B4,F_DangKiGiaoVien!$C$2:$Q999,5,0)),"",VLOOKUP(B4,F_DangKiGiaoVien!$C$2:$Q999,5,0))</f>
        <v>Thực hiện đồ án tốt nghiệp</v>
      </c>
      <c r="I4" s="9" t="str">
        <f>if(ISNA(VLOOKUP(B4,F_DangKiGiaoVien!$C$2:$Q999,2,0)),"",VLOOKUP(B4,F_DangKiGiaoVien!$C$2:$Q999,6,0))</f>
        <v>Trần Thanh Phương</v>
      </c>
      <c r="J4" s="1" t="s">
        <v>392</v>
      </c>
      <c r="K4" s="9" t="str">
        <f>if(ISNA(VLOOKUP(B4,F_DangKiGiaoVien!$C$2:$Q999,2,0)),"",VLOOKUP(B4,F_DangKiGiaoVien!$C$2:$Q999,8,0))</f>
        <v>Ứng dụng Deep Learning để khám phá cấu trúc nhân quả phi tuyến tính từ dữ liệu.</v>
      </c>
    </row>
    <row r="5">
      <c r="A5" s="9">
        <f t="shared" si="1"/>
        <v>4</v>
      </c>
      <c r="B5" s="1">
        <v>1.2200009E8</v>
      </c>
      <c r="C5" s="9" t="str">
        <f>VLOOKUP(B5,students!$B$2:$I$197,2,0)</f>
        <v>22CT111</v>
      </c>
      <c r="D5" s="9" t="str">
        <f>VLOOKUP(B5,students!$B$2:$I$197,3,0)</f>
        <v>Nguyễn Trung</v>
      </c>
      <c r="E5" s="9" t="str">
        <f>VLOOKUP(B5,students!$B$2:$I$197,4,0)</f>
        <v>Nghĩa</v>
      </c>
      <c r="F5" s="15">
        <f>VLOOKUP(B5,students!$B$2:$I$197,7,0)</f>
        <v>839446137</v>
      </c>
      <c r="G5" s="9" t="str">
        <f>if(ISNA(VLOOKUP(B5,F_DangKiGiaoVien!$C$2:$Q999,2,0)),"Chưa ĐK","Đã ĐK")</f>
        <v>Đã ĐK</v>
      </c>
      <c r="H5" s="9" t="str">
        <f>if(ISNA(VLOOKUP(B5,F_DangKiGiaoVien!$C$2:$Q999,5,0)),"",VLOOKUP(B5,F_DangKiGiaoVien!$C$2:$Q999,5,0))</f>
        <v>Thực hiện đồ án tốt nghiệp</v>
      </c>
      <c r="I5" s="9" t="str">
        <f>if(ISNA(VLOOKUP(B5,F_DangKiGiaoVien!$C$2:$Q999,2,0)),"",VLOOKUP(B5,F_DangKiGiaoVien!$C$2:$Q999,6,0))</f>
        <v>Nguyễn Minh Phúc</v>
      </c>
      <c r="J5" s="1" t="s">
        <v>392</v>
      </c>
      <c r="K5" s="9" t="str">
        <f>if(ISNA(VLOOKUP(B5,F_DangKiGiaoVien!$C$2:$Q999,2,0)),"",VLOOKUP(B5,F_DangKiGiaoVien!$C$2:$Q999,8,0))</f>
        <v>Phát hiện đạo văn trong bài tập lập trình </v>
      </c>
    </row>
    <row r="6">
      <c r="A6" s="9">
        <f t="shared" si="1"/>
        <v>5</v>
      </c>
      <c r="B6" s="1">
        <v>1.22000093E8</v>
      </c>
      <c r="C6" s="9" t="str">
        <f>VLOOKUP(B6,students!$B$2:$I$197,2,0)</f>
        <v>22CT111</v>
      </c>
      <c r="D6" s="9" t="str">
        <f>VLOOKUP(B6,students!$B$2:$I$197,3,0)</f>
        <v>Trương Quốc</v>
      </c>
      <c r="E6" s="9" t="str">
        <f>VLOOKUP(B6,students!$B$2:$I$197,4,0)</f>
        <v>Hòa</v>
      </c>
      <c r="F6" s="15">
        <f>VLOOKUP(B6,students!$B$2:$I$197,7,0)</f>
        <v>778754895</v>
      </c>
      <c r="G6" s="9" t="str">
        <f>if(ISNA(VLOOKUP(B6,F_DangKiGiaoVien!$C$2:$Q999,2,0)),"Chưa ĐK","Đã ĐK")</f>
        <v>Đã ĐK</v>
      </c>
      <c r="H6" s="9" t="str">
        <f>if(ISNA(VLOOKUP(B6,F_DangKiGiaoVien!$C$2:$Q999,5,0)),"",VLOOKUP(B6,F_DangKiGiaoVien!$C$2:$Q999,5,0))</f>
        <v>Thực hiện đồ án tốt nghiệp</v>
      </c>
      <c r="I6" s="9" t="str">
        <f>if(ISNA(VLOOKUP(B6,F_DangKiGiaoVien!$C$2:$Q999,2,0)),"",VLOOKUP(B6,F_DangKiGiaoVien!$C$2:$Q999,6,0))</f>
        <v>Nguyễn Minh Phúc</v>
      </c>
      <c r="J6" s="1" t="s">
        <v>392</v>
      </c>
      <c r="K6" s="9" t="str">
        <f>if(ISNA(VLOOKUP(B6,F_DangKiGiaoVien!$C$2:$Q999,2,0)),"",VLOOKUP(B6,F_DangKiGiaoVien!$C$2:$Q999,8,0))</f>
        <v>Phát hiện đạo văn trong bài tập lập trình</v>
      </c>
    </row>
    <row r="7">
      <c r="A7" s="9">
        <f t="shared" si="1"/>
        <v>6</v>
      </c>
      <c r="B7" s="1">
        <v>1.22000111E8</v>
      </c>
      <c r="C7" s="9" t="str">
        <f>VLOOKUP(B7,students!$B$2:$I$197,2,0)</f>
        <v>22CT111</v>
      </c>
      <c r="D7" s="9" t="str">
        <f>VLOOKUP(B7,students!$B$2:$I$197,3,0)</f>
        <v>Phạm Anh</v>
      </c>
      <c r="E7" s="9" t="str">
        <f>VLOOKUP(B7,students!$B$2:$I$197,4,0)</f>
        <v>Đức</v>
      </c>
      <c r="F7" s="15">
        <f>VLOOKUP(B7,students!$B$2:$I$197,7,0)</f>
        <v>973894731</v>
      </c>
      <c r="G7" s="9" t="str">
        <f>if(ISNA(VLOOKUP(B7,F_DangKiGiaoVien!$C$2:$Q999,2,0)),"Chưa ĐK","Đã ĐK")</f>
        <v>Đã ĐK</v>
      </c>
      <c r="H7" s="9" t="str">
        <f>if(ISNA(VLOOKUP(B7,F_DangKiGiaoVien!$C$2:$Q999,5,0)),"",VLOOKUP(B7,F_DangKiGiaoVien!$C$2:$Q999,5,0))</f>
        <v>Thực hiện đồ án tốt nghiệp</v>
      </c>
      <c r="I7" s="9" t="str">
        <f>if(ISNA(VLOOKUP(B7,F_DangKiGiaoVien!$C$2:$Q999,2,0)),"",VLOOKUP(B7,F_DangKiGiaoVien!$C$2:$Q999,6,0))</f>
        <v>Nguyễn Vũ Duy Quang</v>
      </c>
      <c r="J7" s="1" t="s">
        <v>392</v>
      </c>
      <c r="K7" s="9" t="str">
        <f>if(ISNA(VLOOKUP(B7,F_DangKiGiaoVien!$C$2:$Q999,2,0)),"",VLOOKUP(B7,F_DangKiGiaoVien!$C$2:$Q999,8,0))</f>
        <v>NGHIÊN CỨU VÀ XÂY DỰNG MÔ HÌNH CHIA SẺ TÀI LIỆU MẬT AN TOÀN TRÊN NỀN TẢNG DESKTOP</v>
      </c>
    </row>
    <row r="8">
      <c r="A8" s="9">
        <f t="shared" si="1"/>
        <v>7</v>
      </c>
      <c r="B8" s="1">
        <v>1.22000209E8</v>
      </c>
      <c r="C8" s="9" t="str">
        <f>VLOOKUP(B8,students!$B$2:$I$197,2,0)</f>
        <v>22CT111</v>
      </c>
      <c r="D8" s="9" t="str">
        <f>VLOOKUP(B8,students!$B$2:$I$197,3,0)</f>
        <v>Lê Tuấn</v>
      </c>
      <c r="E8" s="9" t="str">
        <f>VLOOKUP(B8,students!$B$2:$I$197,4,0)</f>
        <v>Anh</v>
      </c>
      <c r="F8" s="15">
        <f>VLOOKUP(B8,students!$B$2:$I$197,7,0)</f>
        <v>388169322</v>
      </c>
      <c r="G8" s="9" t="str">
        <f>if(ISNA(VLOOKUP(B8,F_DangKiGiaoVien!$C$2:$Q999,2,0)),"Chưa ĐK","Đã ĐK")</f>
        <v>Đã ĐK</v>
      </c>
      <c r="H8" s="9" t="str">
        <f>if(ISNA(VLOOKUP(B8,F_DangKiGiaoVien!$C$2:$Q999,5,0)),"",VLOOKUP(B8,F_DangKiGiaoVien!$C$2:$Q999,5,0))</f>
        <v>Thực hiện đồ án tốt nghiệp</v>
      </c>
      <c r="I8" s="9" t="str">
        <f>if(ISNA(VLOOKUP(B8,F_DangKiGiaoVien!$C$2:$Q999,2,0)),"",VLOOKUP(B8,F_DangKiGiaoVien!$C$2:$Q999,6,0))</f>
        <v>Nguyễn Minh Phúc</v>
      </c>
      <c r="J8" s="1" t="s">
        <v>392</v>
      </c>
      <c r="K8" s="9" t="str">
        <f>if(ISNA(VLOOKUP(B8,F_DangKiGiaoVien!$C$2:$Q999,2,0)),"",VLOOKUP(B8,F_DangKiGiaoVien!$C$2:$Q999,8,0))</f>
        <v>XÂY DỰNG MODULE HỆ THỐNG GỢI Ý LỖI VÀ FEEDBACK TỰ ĐỘNG TRONG BÀI CÁC MÔN LẬP TRÌNH</v>
      </c>
    </row>
    <row r="9">
      <c r="A9" s="9">
        <f t="shared" si="1"/>
        <v>8</v>
      </c>
      <c r="B9" s="1">
        <v>1.22000224E8</v>
      </c>
      <c r="C9" s="9" t="str">
        <f>VLOOKUP(B9,students!$B$2:$I$197,2,0)</f>
        <v>22CT111</v>
      </c>
      <c r="D9" s="9" t="str">
        <f>VLOOKUP(B9,students!$B$2:$I$197,3,0)</f>
        <v>Trương Nguyên</v>
      </c>
      <c r="E9" s="9" t="str">
        <f>VLOOKUP(B9,students!$B$2:$I$197,4,0)</f>
        <v>Giáp</v>
      </c>
      <c r="F9" s="15">
        <f>VLOOKUP(B9,students!$B$2:$I$197,7,0)</f>
        <v>368609650</v>
      </c>
      <c r="G9" s="9" t="str">
        <f>if(ISNA(VLOOKUP(B9,F_DangKiGiaoVien!$C$2:$Q999,2,0)),"Chưa ĐK","Đã ĐK")</f>
        <v>Đã ĐK</v>
      </c>
      <c r="H9" s="9" t="str">
        <f>if(ISNA(VLOOKUP(B9,F_DangKiGiaoVien!$C$2:$Q999,5,0)),"",VLOOKUP(B9,F_DangKiGiaoVien!$C$2:$Q999,5,0))</f>
        <v>Thực hiện đồ án tốt nghiệp</v>
      </c>
      <c r="I9" s="9" t="str">
        <f>if(ISNA(VLOOKUP(B9,F_DangKiGiaoVien!$C$2:$Q999,2,0)),"",VLOOKUP(B9,F_DangKiGiaoVien!$C$2:$Q999,6,0))</f>
        <v>Nguyễn Minh Phúc</v>
      </c>
      <c r="J9" s="1" t="s">
        <v>392</v>
      </c>
      <c r="K9" s="9" t="str">
        <f>if(ISNA(VLOOKUP(B9,F_DangKiGiaoVien!$C$2:$Q999,2,0)),"",VLOOKUP(B9,F_DangKiGiaoVien!$C$2:$Q999,8,0))</f>
        <v>XÂY DỰNG MODULE HỆ THỐNG GỢI Ý LỖI VÀ FEEDBACK TỰ ĐỘNG TRONG BÀI CÁC MÔN LẬP TRÌNH </v>
      </c>
    </row>
    <row r="10">
      <c r="A10" s="9">
        <f t="shared" si="1"/>
        <v>9</v>
      </c>
      <c r="B10" s="1">
        <v>1.22000232E8</v>
      </c>
      <c r="C10" s="9" t="str">
        <f>VLOOKUP(B10,students!$B$2:$I$197,2,0)</f>
        <v>22CT111</v>
      </c>
      <c r="D10" s="9" t="str">
        <f>VLOOKUP(B10,students!$B$2:$I$197,3,0)</f>
        <v>Hà Vũ</v>
      </c>
      <c r="E10" s="9" t="str">
        <f>VLOOKUP(B10,students!$B$2:$I$197,4,0)</f>
        <v>Khải</v>
      </c>
      <c r="F10" s="15">
        <f>VLOOKUP(B10,students!$B$2:$I$197,7,0)</f>
        <v>356813741</v>
      </c>
      <c r="G10" s="9" t="str">
        <f>if(ISNA(VLOOKUP(B10,F_DangKiGiaoVien!$C$2:$Q999,2,0)),"Chưa ĐK","Đã ĐK")</f>
        <v>Đã ĐK</v>
      </c>
      <c r="H10" s="9" t="str">
        <f>if(ISNA(VLOOKUP(B10,F_DangKiGiaoVien!$C$2:$Q999,5,0)),"",VLOOKUP(B10,F_DangKiGiaoVien!$C$2:$Q999,5,0))</f>
        <v>Thực hiện đồ án tốt nghiệp</v>
      </c>
      <c r="I10" s="9" t="str">
        <f>if(ISNA(VLOOKUP(B10,F_DangKiGiaoVien!$C$2:$Q999,2,0)),"",VLOOKUP(B10,F_DangKiGiaoVien!$C$2:$Q999,6,0))</f>
        <v>Nguyễn Minh Phúc</v>
      </c>
      <c r="J10" s="1" t="s">
        <v>392</v>
      </c>
      <c r="K10" s="9" t="str">
        <f>if(ISNA(VLOOKUP(B10,F_DangKiGiaoVien!$C$2:$Q999,2,0)),"",VLOOKUP(B10,F_DangKiGiaoVien!$C$2:$Q999,8,0))</f>
        <v> Xây dựng module tHệ thống gợi ý bài tập cá nhân hóa trong LMS.</v>
      </c>
    </row>
    <row r="11">
      <c r="A11" s="9">
        <f t="shared" si="1"/>
        <v>10</v>
      </c>
      <c r="B11" s="1">
        <v>1.22000246E8</v>
      </c>
      <c r="C11" s="9" t="str">
        <f>VLOOKUP(B11,students!$B$2:$I$197,2,0)</f>
        <v>22CT111</v>
      </c>
      <c r="D11" s="9" t="str">
        <f>VLOOKUP(B11,students!$B$2:$I$197,3,0)</f>
        <v>Ngô Minh</v>
      </c>
      <c r="E11" s="9" t="str">
        <f>VLOOKUP(B11,students!$B$2:$I$197,4,0)</f>
        <v>Quân</v>
      </c>
      <c r="F11" s="15">
        <f>VLOOKUP(B11,students!$B$2:$I$197,7,0)</f>
        <v>931468624</v>
      </c>
      <c r="G11" s="9" t="str">
        <f>if(ISNA(VLOOKUP(B11,F_DangKiGiaoVien!$C$2:$Q999,2,0)),"Chưa ĐK","Đã ĐK")</f>
        <v>Đã ĐK</v>
      </c>
      <c r="H11" s="9" t="str">
        <f>if(ISNA(VLOOKUP(B11,F_DangKiGiaoVien!$C$2:$Q999,5,0)),"",VLOOKUP(B11,F_DangKiGiaoVien!$C$2:$Q999,5,0))</f>
        <v>Thực hiện đồ án tốt nghiệp</v>
      </c>
      <c r="I11" s="9" t="str">
        <f>if(ISNA(VLOOKUP(B11,F_DangKiGiaoVien!$C$2:$Q999,2,0)),"",VLOOKUP(B11,F_DangKiGiaoVien!$C$2:$Q999,6,0))</f>
        <v>Nguyễn Minh Phúc</v>
      </c>
      <c r="J11" s="1" t="s">
        <v>392</v>
      </c>
      <c r="K11" s="9" t="str">
        <f>if(ISNA(VLOOKUP(B11,F_DangKiGiaoVien!$C$2:$Q999,2,0)),"",VLOOKUP(B11,F_DangKiGiaoVien!$C$2:$Q999,8,0))</f>
        <v>ĐỀ XUẤT BÀI TẬP THEO CẤP ĐỘ NĂNG LỰC</v>
      </c>
    </row>
    <row r="12">
      <c r="A12" s="9">
        <f t="shared" si="1"/>
        <v>11</v>
      </c>
      <c r="B12" s="1">
        <v>1.22000248E8</v>
      </c>
      <c r="C12" s="9" t="str">
        <f>VLOOKUP(B12,students!$B$2:$I$197,2,0)</f>
        <v>22CT111</v>
      </c>
      <c r="D12" s="9" t="str">
        <f>VLOOKUP(B12,students!$B$2:$I$197,3,0)</f>
        <v>Lê Anh</v>
      </c>
      <c r="E12" s="9" t="str">
        <f>VLOOKUP(B12,students!$B$2:$I$197,4,0)</f>
        <v>Khôi</v>
      </c>
      <c r="F12" s="15">
        <f>VLOOKUP(B12,students!$B$2:$I$197,7,0)</f>
        <v>764077358</v>
      </c>
      <c r="G12" s="9" t="str">
        <f>if(ISNA(VLOOKUP(B12,F_DangKiGiaoVien!$C$2:$Q999,2,0)),"Chưa ĐK","Đã ĐK")</f>
        <v>Đã ĐK</v>
      </c>
      <c r="H12" s="9" t="str">
        <f>if(ISNA(VLOOKUP(B12,F_DangKiGiaoVien!$C$2:$Q999,5,0)),"",VLOOKUP(B12,F_DangKiGiaoVien!$C$2:$Q999,5,0))</f>
        <v>Thực hiện đồ án tốt nghiệp</v>
      </c>
      <c r="I12" s="9" t="str">
        <f>if(ISNA(VLOOKUP(B12,F_DangKiGiaoVien!$C$2:$Q999,2,0)),"",VLOOKUP(B12,F_DangKiGiaoVien!$C$2:$Q999,6,0))</f>
        <v>Nguyễn Minh Phúc</v>
      </c>
      <c r="J12" s="1" t="s">
        <v>392</v>
      </c>
      <c r="K12" s="9" t="str">
        <f>if(ISNA(VLOOKUP(B12,F_DangKiGiaoVien!$C$2:$Q999,2,0)),"",VLOOKUP(B12,F_DangKiGiaoVien!$C$2:$Q999,8,0))</f>
        <v>XÂY DỰNG MODULE TÍCH HỢP HỆ THỐNG GỢI Ý BÀI TẬP CÁ NHÂN HÓA TRONG LMS</v>
      </c>
    </row>
    <row r="13">
      <c r="A13" s="9">
        <f t="shared" si="1"/>
        <v>12</v>
      </c>
      <c r="B13" s="1">
        <v>1.22000268E8</v>
      </c>
      <c r="C13" s="9" t="str">
        <f>VLOOKUP(B13,students!$B$2:$I$197,2,0)</f>
        <v>22CT111</v>
      </c>
      <c r="D13" s="9" t="str">
        <f>VLOOKUP(B13,students!$B$2:$I$197,3,0)</f>
        <v>Vũ Tiến</v>
      </c>
      <c r="E13" s="9" t="str">
        <f>VLOOKUP(B13,students!$B$2:$I$197,4,0)</f>
        <v>Đức</v>
      </c>
      <c r="F13" s="15">
        <f>VLOOKUP(B13,students!$B$2:$I$197,7,0)</f>
        <v>984814271</v>
      </c>
      <c r="G13" s="9" t="str">
        <f>if(ISNA(VLOOKUP(B13,F_DangKiGiaoVien!$C$2:$Q999,2,0)),"Chưa ĐK","Đã ĐK")</f>
        <v>Đã ĐK</v>
      </c>
      <c r="H13" s="9" t="str">
        <f>if(ISNA(VLOOKUP(B13,F_DangKiGiaoVien!$C$2:$Q999,5,0)),"",VLOOKUP(B13,F_DangKiGiaoVien!$C$2:$Q999,5,0))</f>
        <v>Thực hiện đồ án tốt nghiệp</v>
      </c>
      <c r="I13" s="9" t="str">
        <f>if(ISNA(VLOOKUP(B13,F_DangKiGiaoVien!$C$2:$Q999,2,0)),"",VLOOKUP(B13,F_DangKiGiaoVien!$C$2:$Q999,6,0))</f>
        <v>Nguyễn Vũ Thiên Phúc</v>
      </c>
      <c r="J13" s="1" t="s">
        <v>392</v>
      </c>
      <c r="K13" s="9" t="str">
        <f>if(ISNA(VLOOKUP(B13,F_DangKiGiaoVien!$C$2:$Q999,2,0)),"",VLOOKUP(B13,F_DangKiGiaoVien!$C$2:$Q999,8,0))</f>
        <v>Mô phỏng mạng doanh nghiệp trên Cisco Packet Tracer</v>
      </c>
    </row>
    <row r="14">
      <c r="A14" s="9">
        <f t="shared" si="1"/>
        <v>13</v>
      </c>
      <c r="B14" s="1">
        <v>1.22000315E8</v>
      </c>
      <c r="C14" s="9" t="str">
        <f>VLOOKUP(B14,students!$B$2:$I$197,2,0)</f>
        <v>22CT111</v>
      </c>
      <c r="D14" s="9" t="str">
        <f>VLOOKUP(B14,students!$B$2:$I$197,3,0)</f>
        <v>Trần Mạnh</v>
      </c>
      <c r="E14" s="9" t="str">
        <f>VLOOKUP(B14,students!$B$2:$I$197,4,0)</f>
        <v>Thái</v>
      </c>
      <c r="F14" s="15">
        <f>VLOOKUP(B14,students!$B$2:$I$197,7,0)</f>
        <v>868994544</v>
      </c>
      <c r="G14" s="9" t="str">
        <f>if(ISNA(VLOOKUP(B14,F_DangKiGiaoVien!$C$2:$Q999,2,0)),"Chưa ĐK","Đã ĐK")</f>
        <v>Đã ĐK</v>
      </c>
      <c r="H14" s="9" t="str">
        <f>if(ISNA(VLOOKUP(B14,F_DangKiGiaoVien!$C$2:$Q999,5,0)),"",VLOOKUP(B14,F_DangKiGiaoVien!$C$2:$Q999,5,0))</f>
        <v>Thực hiện đồ án tốt nghiệp</v>
      </c>
      <c r="I14" s="9" t="str">
        <f>if(ISNA(VLOOKUP(B14,F_DangKiGiaoVien!$C$2:$Q999,2,0)),"",VLOOKUP(B14,F_DangKiGiaoVien!$C$2:$Q999,6,0))</f>
        <v>Trần Thanh Phương</v>
      </c>
      <c r="J14" s="1" t="s">
        <v>392</v>
      </c>
      <c r="K14" s="9" t="str">
        <f>if(ISNA(VLOOKUP(B14,F_DangKiGiaoVien!$C$2:$Q999,2,0)),"",VLOOKUP(B14,F_DangKiGiaoVien!$C$2:$Q999,8,0))</f>
        <v>Ứng dụng Deep Learning để khám phá cấu trúc nhân quả phi tuyến tính từ dữ liệu.</v>
      </c>
    </row>
    <row r="15">
      <c r="A15" s="9">
        <f t="shared" si="1"/>
        <v>14</v>
      </c>
      <c r="B15" s="1">
        <v>1.22000326E8</v>
      </c>
      <c r="C15" s="9" t="str">
        <f>VLOOKUP(B15,students!$B$2:$I$197,2,0)</f>
        <v>22CT111</v>
      </c>
      <c r="D15" s="9" t="str">
        <f>VLOOKUP(B15,students!$B$2:$I$197,3,0)</f>
        <v>Hàn Quốc Phú</v>
      </c>
      <c r="E15" s="9" t="str">
        <f>VLOOKUP(B15,students!$B$2:$I$197,4,0)</f>
        <v>Hân</v>
      </c>
      <c r="F15" s="15">
        <f>VLOOKUP(B15,students!$B$2:$I$197,7,0)</f>
        <v>911176340</v>
      </c>
      <c r="G15" s="9" t="str">
        <f>if(ISNA(VLOOKUP(B15,F_DangKiGiaoVien!$C$2:$Q999,2,0)),"Chưa ĐK","Đã ĐK")</f>
        <v>Đã ĐK</v>
      </c>
      <c r="H15" s="9" t="str">
        <f>if(ISNA(VLOOKUP(B15,F_DangKiGiaoVien!$C$2:$Q999,5,0)),"",VLOOKUP(B15,F_DangKiGiaoVien!$C$2:$Q999,5,0))</f>
        <v>Thực hiện đồ án tốt nghiệp</v>
      </c>
      <c r="I15" s="9" t="str">
        <f>if(ISNA(VLOOKUP(B15,F_DangKiGiaoVien!$C$2:$Q999,2,0)),"",VLOOKUP(B15,F_DangKiGiaoVien!$C$2:$Q999,6,0))</f>
        <v>Bùi Thị Thu Trang</v>
      </c>
      <c r="J15" s="1" t="s">
        <v>392</v>
      </c>
      <c r="K15" s="9" t="str">
        <f>if(ISNA(VLOOKUP(B15,F_DangKiGiaoVien!$C$2:$Q999,2,0)),"",VLOOKUP(B15,F_DangKiGiaoVien!$C$2:$Q999,8,0))</f>
        <v>Phân tích xu hướng tuyển dụng ngành CNTT và TMĐT</v>
      </c>
    </row>
    <row r="16">
      <c r="A16" s="9">
        <f t="shared" si="1"/>
        <v>15</v>
      </c>
      <c r="B16" s="1">
        <v>1.22000336E8</v>
      </c>
      <c r="C16" s="9" t="str">
        <f>VLOOKUP(B16,students!$B$2:$I$197,2,0)</f>
        <v>22CT111</v>
      </c>
      <c r="D16" s="9" t="str">
        <f>VLOOKUP(B16,students!$B$2:$I$197,3,0)</f>
        <v>Nguyễn Trần Trung</v>
      </c>
      <c r="E16" s="9" t="str">
        <f>VLOOKUP(B16,students!$B$2:$I$197,4,0)</f>
        <v>Kiên</v>
      </c>
      <c r="F16" s="15">
        <f>VLOOKUP(B16,students!$B$2:$I$197,7,0)</f>
        <v>888827445</v>
      </c>
      <c r="G16" s="9" t="str">
        <f>if(ISNA(VLOOKUP(B16,F_DangKiGiaoVien!$C$2:$Q999,2,0)),"Chưa ĐK","Đã ĐK")</f>
        <v>Đã ĐK</v>
      </c>
      <c r="H16" s="9" t="str">
        <f>if(ISNA(VLOOKUP(B16,F_DangKiGiaoVien!$C$2:$Q999,5,0)),"",VLOOKUP(B16,F_DangKiGiaoVien!$C$2:$Q999,5,0))</f>
        <v>Thực hiện đồ án tốt nghiệp</v>
      </c>
      <c r="I16" s="9" t="str">
        <f>if(ISNA(VLOOKUP(B16,F_DangKiGiaoVien!$C$2:$Q999,2,0)),"",VLOOKUP(B16,F_DangKiGiaoVien!$C$2:$Q999,6,0))</f>
        <v>Nguyễn Minh Phúc</v>
      </c>
      <c r="J16" s="1" t="s">
        <v>392</v>
      </c>
      <c r="K16" s="9" t="str">
        <f>if(ISNA(VLOOKUP(B16,F_DangKiGiaoVien!$C$2:$Q999,2,0)),"",VLOOKUP(B16,F_DangKiGiaoVien!$C$2:$Q999,8,0))</f>
        <v>XÂY DỰNG NGÂN HÀNG BÀI TẬP LẬP TRÌNH THEO CẤP ĐỘ ĐỂ PHỤC VỤ HỆ THỐNG GỢI Ý CÁ NHÂN HÓA</v>
      </c>
    </row>
    <row r="17">
      <c r="A17" s="9">
        <f t="shared" si="1"/>
        <v>16</v>
      </c>
      <c r="B17" s="1">
        <v>1.22000343E8</v>
      </c>
      <c r="C17" s="9" t="str">
        <f>VLOOKUP(B17,students!$B$2:$I$197,2,0)</f>
        <v>22CT111</v>
      </c>
      <c r="D17" s="9" t="str">
        <f>VLOOKUP(B17,students!$B$2:$I$197,3,0)</f>
        <v>Huỳnh Minh</v>
      </c>
      <c r="E17" s="9" t="str">
        <f>VLOOKUP(B17,students!$B$2:$I$197,4,0)</f>
        <v>Sang</v>
      </c>
      <c r="F17" s="15">
        <f>VLOOKUP(B17,students!$B$2:$I$197,7,0)</f>
        <v>961810760</v>
      </c>
      <c r="G17" s="9" t="str">
        <f>if(ISNA(VLOOKUP(B17,F_DangKiGiaoVien!$C$2:$Q999,2,0)),"Chưa ĐK","Đã ĐK")</f>
        <v>Đã ĐK</v>
      </c>
      <c r="H17" s="9" t="str">
        <f>if(ISNA(VLOOKUP(B17,F_DangKiGiaoVien!$C$2:$Q999,5,0)),"",VLOOKUP(B17,F_DangKiGiaoVien!$C$2:$Q999,5,0))</f>
        <v>Thực hiện đồ án tốt nghiệp</v>
      </c>
      <c r="I17" s="9" t="str">
        <f>if(ISNA(VLOOKUP(B17,F_DangKiGiaoVien!$C$2:$Q999,2,0)),"",VLOOKUP(B17,F_DangKiGiaoVien!$C$2:$Q999,6,0))</f>
        <v>Nguyễn Minh Phúc</v>
      </c>
      <c r="J17" s="1" t="s">
        <v>392</v>
      </c>
      <c r="K17" s="9" t="str">
        <f>if(ISNA(VLOOKUP(B17,F_DangKiGiaoVien!$C$2:$Q999,2,0)),"",VLOOKUP(B17,F_DangKiGiaoVien!$C$2:$Q999,8,0))</f>
        <v>XÂY DỰNG HỆ THỐNG CHẤM ĐIỂM PYTHON TỰ ĐỘNG TRÊN LMS - CẤU TRÚC DỮ LIỆU VÀ GIẢI THUẬT</v>
      </c>
    </row>
    <row r="18">
      <c r="A18" s="9">
        <f t="shared" si="1"/>
        <v>17</v>
      </c>
      <c r="B18" s="1">
        <v>1.22000357E8</v>
      </c>
      <c r="C18" s="9" t="str">
        <f>VLOOKUP(B18,students!$B$2:$I$197,2,0)</f>
        <v>22CT111</v>
      </c>
      <c r="D18" s="9" t="str">
        <f>VLOOKUP(B18,students!$B$2:$I$197,3,0)</f>
        <v>Trần Võ Quốc</v>
      </c>
      <c r="E18" s="9" t="str">
        <f>VLOOKUP(B18,students!$B$2:$I$197,4,0)</f>
        <v>Huy</v>
      </c>
      <c r="F18" s="15">
        <f>VLOOKUP(B18,students!$B$2:$I$197,7,0)</f>
        <v>825493712</v>
      </c>
      <c r="G18" s="9" t="str">
        <f>if(ISNA(VLOOKUP(B18,F_DangKiGiaoVien!$C$2:$Q999,2,0)),"Chưa ĐK","Đã ĐK")</f>
        <v>Đã ĐK</v>
      </c>
      <c r="H18" s="9" t="str">
        <f>if(ISNA(VLOOKUP(B18,F_DangKiGiaoVien!$C$2:$Q999,5,0)),"",VLOOKUP(B18,F_DangKiGiaoVien!$C$2:$Q999,5,0))</f>
        <v>Thực hiện đồ án tốt nghiệp</v>
      </c>
      <c r="I18" s="9" t="str">
        <f>if(ISNA(VLOOKUP(B18,F_DangKiGiaoVien!$C$2:$Q999,2,0)),"",VLOOKUP(B18,F_DangKiGiaoVien!$C$2:$Q999,6,0))</f>
        <v>Nguyễn Minh Phúc</v>
      </c>
      <c r="J18" s="1" t="s">
        <v>392</v>
      </c>
      <c r="K18" s="9" t="str">
        <f>if(ISNA(VLOOKUP(B18,F_DangKiGiaoVien!$C$2:$Q999,2,0)),"",VLOOKUP(B18,F_DangKiGiaoVien!$C$2:$Q999,8,0))</f>
        <v>XÂY DỰNG NGÂN HÀNG BÀI TẬP LẬP TRÌNH  THEO CẤP ĐỘ ĐỂ PHỤC VỤ HỆ THỐNG GỢI Ý  CÁ NHÂN HÓA</v>
      </c>
    </row>
    <row r="19">
      <c r="A19" s="9">
        <f t="shared" si="1"/>
        <v>18</v>
      </c>
      <c r="B19" s="1">
        <v>1.22000385E8</v>
      </c>
      <c r="C19" s="9" t="str">
        <f>VLOOKUP(B19,students!$B$2:$I$197,2,0)</f>
        <v>22CT111</v>
      </c>
      <c r="D19" s="9" t="str">
        <f>VLOOKUP(B19,students!$B$2:$I$197,3,0)</f>
        <v>Lê Nguyễn Minh</v>
      </c>
      <c r="E19" s="9" t="str">
        <f>VLOOKUP(B19,students!$B$2:$I$197,4,0)</f>
        <v>Chiến</v>
      </c>
      <c r="F19" s="15">
        <f>VLOOKUP(B19,students!$B$2:$I$197,7,0)</f>
        <v>982786983</v>
      </c>
      <c r="G19" s="9" t="str">
        <f>if(ISNA(VLOOKUP(B19,F_DangKiGiaoVien!$C$2:$Q999,2,0)),"Chưa ĐK","Đã ĐK")</f>
        <v>Đã ĐK</v>
      </c>
      <c r="H19" s="9" t="str">
        <f>if(ISNA(VLOOKUP(B19,F_DangKiGiaoVien!$C$2:$Q999,5,0)),"",VLOOKUP(B19,F_DangKiGiaoVien!$C$2:$Q999,5,0))</f>
        <v>Thực hiện đồ án tốt nghiệp</v>
      </c>
      <c r="I19" s="9" t="str">
        <f>if(ISNA(VLOOKUP(B19,F_DangKiGiaoVien!$C$2:$Q999,2,0)),"",VLOOKUP(B19,F_DangKiGiaoVien!$C$2:$Q999,6,0))</f>
        <v>Nguyễn Vũ Thiên Phúc</v>
      </c>
      <c r="J19" s="1" t="s">
        <v>392</v>
      </c>
      <c r="K19" s="9" t="str">
        <f>if(ISNA(VLOOKUP(B19,F_DangKiGiaoVien!$C$2:$Q999,2,0)),"",VLOOKUP(B19,F_DangKiGiaoVien!$C$2:$Q999,8,0))</f>
        <v>Nghiên cứu, sử dụng phần mềm Snort tìm kiếm lỗ hổng hệ thống máy tính và đề xuất các giải pháp phòng tấn công lỗ hổng</v>
      </c>
    </row>
    <row r="20">
      <c r="A20" s="9">
        <f t="shared" si="1"/>
        <v>19</v>
      </c>
      <c r="B20" s="1">
        <v>1.22000386E8</v>
      </c>
      <c r="C20" s="9" t="str">
        <f>VLOOKUP(B20,students!$B$2:$I$197,2,0)</f>
        <v>22CT111</v>
      </c>
      <c r="D20" s="9" t="str">
        <f>VLOOKUP(B20,students!$B$2:$I$197,3,0)</f>
        <v>Trần Đăng</v>
      </c>
      <c r="E20" s="9" t="str">
        <f>VLOOKUP(B20,students!$B$2:$I$197,4,0)</f>
        <v>Khoa</v>
      </c>
      <c r="F20" s="15">
        <f>VLOOKUP(B20,students!$B$2:$I$197,7,0)</f>
        <v>914753165</v>
      </c>
      <c r="G20" s="9" t="str">
        <f>if(ISNA(VLOOKUP(B20,F_DangKiGiaoVien!$C$2:$Q999,2,0)),"Chưa ĐK","Đã ĐK")</f>
        <v>Đã ĐK</v>
      </c>
      <c r="H20" s="9" t="str">
        <f>if(ISNA(VLOOKUP(B20,F_DangKiGiaoVien!$C$2:$Q999,5,0)),"",VLOOKUP(B20,F_DangKiGiaoVien!$C$2:$Q999,5,0))</f>
        <v>Thực hiện đồ án tốt nghiệp</v>
      </c>
      <c r="I20" s="9" t="str">
        <f>if(ISNA(VLOOKUP(B20,F_DangKiGiaoVien!$C$2:$Q999,2,0)),"",VLOOKUP(B20,F_DangKiGiaoVien!$C$2:$Q999,6,0))</f>
        <v>Nguyễn Vũ Thiên Phúc</v>
      </c>
      <c r="J20" s="1" t="s">
        <v>392</v>
      </c>
      <c r="K20" s="9" t="str">
        <f>if(ISNA(VLOOKUP(B20,F_DangKiGiaoVien!$C$2:$Q999,2,0)),"",VLOOKUP(B20,F_DangKiGiaoVien!$C$2:$Q999,8,0))</f>
        <v>Nghiên cứu, sử dụng phần mềm Snort tìm kiếm lỗ hổng hệ thống máy tính và đề xuất các giải pháp phòng tấn công lỗ hổng </v>
      </c>
    </row>
    <row r="21">
      <c r="A21" s="9">
        <f t="shared" si="1"/>
        <v>20</v>
      </c>
      <c r="B21" s="1">
        <v>1.22000404E8</v>
      </c>
      <c r="C21" s="9" t="str">
        <f>VLOOKUP(B21,students!$B$2:$I$197,2,0)</f>
        <v>22CT111</v>
      </c>
      <c r="D21" s="9" t="str">
        <f>VLOOKUP(B21,students!$B$2:$I$197,3,0)</f>
        <v>Trần Văn</v>
      </c>
      <c r="E21" s="9" t="str">
        <f>VLOOKUP(B21,students!$B$2:$I$197,4,0)</f>
        <v>Hưng</v>
      </c>
      <c r="F21" s="15">
        <f>VLOOKUP(B21,students!$B$2:$I$197,7,0)</f>
        <v>848180018</v>
      </c>
      <c r="G21" s="9" t="str">
        <f>if(ISNA(VLOOKUP(B21,F_DangKiGiaoVien!$C$2:$Q999,2,0)),"Chưa ĐK","Đã ĐK")</f>
        <v>Đã ĐK</v>
      </c>
      <c r="H21" s="9" t="str">
        <f>if(ISNA(VLOOKUP(B21,F_DangKiGiaoVien!$C$2:$Q999,5,0)),"",VLOOKUP(B21,F_DangKiGiaoVien!$C$2:$Q999,5,0))</f>
        <v>Thực hiện đồ án tốt nghiệp</v>
      </c>
      <c r="I21" s="9" t="str">
        <f>if(ISNA(VLOOKUP(B21,F_DangKiGiaoVien!$C$2:$Q999,2,0)),"",VLOOKUP(B21,F_DangKiGiaoVien!$C$2:$Q999,6,0))</f>
        <v>Nguyễn Minh Phúc</v>
      </c>
      <c r="J21" s="1" t="s">
        <v>392</v>
      </c>
      <c r="K21" s="9" t="str">
        <f>if(ISNA(VLOOKUP(B21,F_DangKiGiaoVien!$C$2:$Q999,2,0)),"",VLOOKUP(B21,F_DangKiGiaoVien!$C$2:$Q999,8,0))</f>
        <v>XÂY DỰNG HỆ THỐNG CHẤM ĐIỂM PYTHON TỰ ĐỘNG TRÊN LMS - CẤU TRÚC DỮ LIỆU VÀ GIẢI THUẬT</v>
      </c>
    </row>
    <row r="22">
      <c r="A22" s="9">
        <f t="shared" si="1"/>
        <v>21</v>
      </c>
      <c r="B22" s="1">
        <v>1.22000455E8</v>
      </c>
      <c r="C22" s="9" t="str">
        <f>VLOOKUP(B22,students!$B$2:$I$197,2,0)</f>
        <v>22CT111</v>
      </c>
      <c r="D22" s="9" t="str">
        <f>VLOOKUP(B22,students!$B$2:$I$197,3,0)</f>
        <v>Nguyễn Trường</v>
      </c>
      <c r="E22" s="9" t="str">
        <f>VLOOKUP(B22,students!$B$2:$I$197,4,0)</f>
        <v>Duy</v>
      </c>
      <c r="F22" s="15">
        <f>VLOOKUP(B22,students!$B$2:$I$197,7,0)</f>
        <v>372666743</v>
      </c>
      <c r="G22" s="9" t="str">
        <f>if(ISNA(VLOOKUP(B22,F_DangKiGiaoVien!$C$2:$Q999,2,0)),"Chưa ĐK","Đã ĐK")</f>
        <v>Đã ĐK</v>
      </c>
      <c r="H22" s="9" t="str">
        <f>if(ISNA(VLOOKUP(B22,F_DangKiGiaoVien!$C$2:$Q999,5,0)),"",VLOOKUP(B22,F_DangKiGiaoVien!$C$2:$Q999,5,0))</f>
        <v>Thực hiện đồ án tốt nghiệp</v>
      </c>
      <c r="I22" s="9" t="str">
        <f>if(ISNA(VLOOKUP(B22,F_DangKiGiaoVien!$C$2:$Q999,2,0)),"",VLOOKUP(B22,F_DangKiGiaoVien!$C$2:$Q999,6,0))</f>
        <v>Nguyễn Vũ Thiên Phúc</v>
      </c>
      <c r="J22" s="1" t="s">
        <v>392</v>
      </c>
      <c r="K22" s="9" t="str">
        <f>if(ISNA(VLOOKUP(B22,F_DangKiGiaoVien!$C$2:$Q999,2,0)),"",VLOOKUP(B22,F_DangKiGiaoVien!$C$2:$Q999,8,0))</f>
        <v>Thiết bị đo thông số môi trường và đưa ra phương án Cây trồng phù hợp cho nông dân</v>
      </c>
    </row>
    <row r="23">
      <c r="A23" s="9">
        <f t="shared" si="1"/>
        <v>22</v>
      </c>
      <c r="B23" s="1">
        <v>1.2200049E8</v>
      </c>
      <c r="C23" s="9" t="str">
        <f>VLOOKUP(B23,students!$B$2:$I$197,2,0)</f>
        <v>22CT111</v>
      </c>
      <c r="D23" s="9" t="str">
        <f>VLOOKUP(B23,students!$B$2:$I$197,3,0)</f>
        <v>Trần Châu</v>
      </c>
      <c r="E23" s="9" t="str">
        <f>VLOOKUP(B23,students!$B$2:$I$197,4,0)</f>
        <v>Quý</v>
      </c>
      <c r="F23" s="15">
        <f>VLOOKUP(B23,students!$B$2:$I$197,7,0)</f>
        <v>908998503</v>
      </c>
      <c r="G23" s="9" t="str">
        <f>if(ISNA(VLOOKUP(B23,F_DangKiGiaoVien!$C$2:$Q999,2,0)),"Chưa ĐK","Đã ĐK")</f>
        <v>Đã ĐK</v>
      </c>
      <c r="H23" s="9" t="str">
        <f>if(ISNA(VLOOKUP(B23,F_DangKiGiaoVien!$C$2:$Q999,5,0)),"",VLOOKUP(B23,F_DangKiGiaoVien!$C$2:$Q999,5,0))</f>
        <v>Thực hiện đồ án tốt nghiệp</v>
      </c>
      <c r="I23" s="9" t="str">
        <f>if(ISNA(VLOOKUP(B23,F_DangKiGiaoVien!$C$2:$Q999,2,0)),"",VLOOKUP(B23,F_DangKiGiaoVien!$C$2:$Q999,6,0))</f>
        <v>Nguyễn Vũ Thiên Phúc</v>
      </c>
      <c r="J23" s="1" t="s">
        <v>392</v>
      </c>
      <c r="K23" s="9" t="str">
        <f>if(ISNA(VLOOKUP(B23,F_DangKiGiaoVien!$C$2:$Q999,2,0)),"",VLOOKUP(B23,F_DangKiGiaoVien!$C$2:$Q999,8,0))</f>
        <v>Xây dựng kịch bản mô phỏng CVE Wordpress 2016 - 2025 </v>
      </c>
    </row>
    <row r="24">
      <c r="A24" s="9">
        <f t="shared" si="1"/>
        <v>23</v>
      </c>
      <c r="B24" s="1">
        <v>1.2200052E8</v>
      </c>
      <c r="C24" s="9" t="str">
        <f>VLOOKUP(B24,students!$B$2:$I$197,2,0)</f>
        <v>22CT111</v>
      </c>
      <c r="D24" s="9" t="str">
        <f>VLOOKUP(B24,students!$B$2:$I$197,3,0)</f>
        <v>Phạm Gia</v>
      </c>
      <c r="E24" s="9" t="str">
        <f>VLOOKUP(B24,students!$B$2:$I$197,4,0)</f>
        <v>Thoại</v>
      </c>
      <c r="F24" s="15">
        <f>VLOOKUP(B24,students!$B$2:$I$197,7,0)</f>
        <v>931059840</v>
      </c>
      <c r="G24" s="9" t="str">
        <f>if(ISNA(VLOOKUP(B24,F_DangKiGiaoVien!$C$2:$Q999,2,0)),"Chưa ĐK","Đã ĐK")</f>
        <v>Đã ĐK</v>
      </c>
      <c r="H24" s="9" t="str">
        <f>if(ISNA(VLOOKUP(B24,F_DangKiGiaoVien!$C$2:$Q999,5,0)),"",VLOOKUP(B24,F_DangKiGiaoVien!$C$2:$Q999,5,0))</f>
        <v>Thực hiện đồ án tốt nghiệp</v>
      </c>
      <c r="I24" s="9" t="str">
        <f>if(ISNA(VLOOKUP(B24,F_DangKiGiaoVien!$C$2:$Q999,2,0)),"",VLOOKUP(B24,F_DangKiGiaoVien!$C$2:$Q999,6,0))</f>
        <v>Nguyễn Vũ Thiên Phúc</v>
      </c>
      <c r="J24" s="1" t="s">
        <v>392</v>
      </c>
      <c r="K24" s="9" t="str">
        <f>if(ISNA(VLOOKUP(B24,F_DangKiGiaoVien!$C$2:$Q999,2,0)),"",VLOOKUP(B24,F_DangKiGiaoVien!$C$2:$Q999,8,0))</f>
        <v>Xây dựng kịch bản mô phỏng CVE Wordpress 2016 - 2025 </v>
      </c>
    </row>
    <row r="25">
      <c r="A25" s="9">
        <f t="shared" si="1"/>
        <v>24</v>
      </c>
      <c r="B25" s="1">
        <v>1.22000598E8</v>
      </c>
      <c r="C25" s="9" t="str">
        <f>VLOOKUP(B25,students!$B$2:$I$197,2,0)</f>
        <v>22CT111</v>
      </c>
      <c r="D25" s="9" t="str">
        <f>VLOOKUP(B25,students!$B$2:$I$197,3,0)</f>
        <v>Phạm Nguyễn Quốc</v>
      </c>
      <c r="E25" s="9" t="str">
        <f>VLOOKUP(B25,students!$B$2:$I$197,4,0)</f>
        <v>Huy</v>
      </c>
      <c r="F25" s="15">
        <f>VLOOKUP(B25,students!$B$2:$I$197,7,0)</f>
        <v>364064731</v>
      </c>
      <c r="G25" s="9" t="str">
        <f>if(ISNA(VLOOKUP(B25,F_DangKiGiaoVien!$C$2:$Q999,2,0)),"Chưa ĐK","Đã ĐK")</f>
        <v>Đã ĐK</v>
      </c>
      <c r="H25" s="9" t="str">
        <f>if(ISNA(VLOOKUP(B25,F_DangKiGiaoVien!$C$2:$Q999,5,0)),"",VLOOKUP(B25,F_DangKiGiaoVien!$C$2:$Q999,5,0))</f>
        <v>Thực hiện đồ án tốt nghiệp</v>
      </c>
      <c r="I25" s="9" t="str">
        <f>if(ISNA(VLOOKUP(B25,F_DangKiGiaoVien!$C$2:$Q999,2,0)),"",VLOOKUP(B25,F_DangKiGiaoVien!$C$2:$Q999,6,0))</f>
        <v>Nguyễn Minh Phúc</v>
      </c>
      <c r="J25" s="1" t="s">
        <v>392</v>
      </c>
      <c r="K25" s="9" t="str">
        <f>if(ISNA(VLOOKUP(B25,F_DangKiGiaoVien!$C$2:$Q999,2,0)),"",VLOOKUP(B25,F_DangKiGiaoVien!$C$2:$Q999,8,0))</f>
        <v>Phân tích tương tác sinh viên với LMS để phát hiện nguy cơ học kém</v>
      </c>
    </row>
    <row r="26">
      <c r="A26" s="9">
        <f t="shared" si="1"/>
        <v>25</v>
      </c>
      <c r="B26" s="1">
        <v>1.22000601E8</v>
      </c>
      <c r="C26" s="9" t="str">
        <f>VLOOKUP(B26,students!$B$2:$I$197,2,0)</f>
        <v>22CT111</v>
      </c>
      <c r="D26" s="9" t="str">
        <f>VLOOKUP(B26,students!$B$2:$I$197,3,0)</f>
        <v>Nguyễn Tiến</v>
      </c>
      <c r="E26" s="9" t="str">
        <f>VLOOKUP(B26,students!$B$2:$I$197,4,0)</f>
        <v>Trường</v>
      </c>
      <c r="F26" s="15">
        <f>VLOOKUP(B26,students!$B$2:$I$197,7,0)</f>
        <v>335520911</v>
      </c>
      <c r="G26" s="9" t="str">
        <f>if(ISNA(VLOOKUP(B26,F_DangKiGiaoVien!$C$2:$Q999,2,0)),"Chưa ĐK","Đã ĐK")</f>
        <v>Đã ĐK</v>
      </c>
      <c r="H26" s="9" t="str">
        <f>if(ISNA(VLOOKUP(B26,F_DangKiGiaoVien!$C$2:$Q999,5,0)),"",VLOOKUP(B26,F_DangKiGiaoVien!$C$2:$Q999,5,0))</f>
        <v>Thực hiện đồ án tốt nghiệp</v>
      </c>
      <c r="I26" s="9" t="str">
        <f>if(ISNA(VLOOKUP(B26,F_DangKiGiaoVien!$C$2:$Q999,2,0)),"",VLOOKUP(B26,F_DangKiGiaoVien!$C$2:$Q999,6,0))</f>
        <v>Nguyễn Vũ Duy Quang</v>
      </c>
      <c r="J26" s="1" t="s">
        <v>392</v>
      </c>
      <c r="K26" s="9" t="str">
        <f>if(ISNA(VLOOKUP(B26,F_DangKiGiaoVien!$C$2:$Q999,2,0)),"",VLOOKUP(B26,F_DangKiGiaoVien!$C$2:$Q999,8,0))</f>
        <v>Tích hợp Chatbot vào website giúp chốt đơn tự động</v>
      </c>
    </row>
    <row r="27">
      <c r="A27" s="9">
        <f t="shared" si="1"/>
        <v>26</v>
      </c>
      <c r="B27" s="1">
        <v>1.22000682E8</v>
      </c>
      <c r="C27" s="9" t="str">
        <f>VLOOKUP(B27,students!$B$2:$I$197,2,0)</f>
        <v>22CT111</v>
      </c>
      <c r="D27" s="9" t="str">
        <f>VLOOKUP(B27,students!$B$2:$I$197,3,0)</f>
        <v>Nguyễn Tiến</v>
      </c>
      <c r="E27" s="9" t="str">
        <f>VLOOKUP(B27,students!$B$2:$I$197,4,0)</f>
        <v>Phúc</v>
      </c>
      <c r="F27" s="15">
        <f>VLOOKUP(B27,students!$B$2:$I$197,7,0)</f>
        <v>824646679</v>
      </c>
      <c r="G27" s="9" t="str">
        <f>if(ISNA(VLOOKUP(B27,F_DangKiGiaoVien!$C$2:$Q999,2,0)),"Chưa ĐK","Đã ĐK")</f>
        <v>Đã ĐK</v>
      </c>
      <c r="H27" s="9" t="str">
        <f>if(ISNA(VLOOKUP(B27,F_DangKiGiaoVien!$C$2:$Q999,5,0)),"",VLOOKUP(B27,F_DangKiGiaoVien!$C$2:$Q999,5,0))</f>
        <v>Thực hiện đồ án tốt nghiệp</v>
      </c>
      <c r="I27" s="9" t="str">
        <f>if(ISNA(VLOOKUP(B27,F_DangKiGiaoVien!$C$2:$Q999,2,0)),"",VLOOKUP(B27,F_DangKiGiaoVien!$C$2:$Q999,6,0))</f>
        <v>Nguyễn Minh Phúc</v>
      </c>
      <c r="J27" s="1" t="s">
        <v>392</v>
      </c>
      <c r="K27" s="9" t="str">
        <f>if(ISNA(VLOOKUP(B27,F_DangKiGiaoVien!$C$2:$Q999,2,0)),"",VLOOKUP(B27,F_DangKiGiaoVien!$C$2:$Q999,8,0))</f>
        <v>Đề xuất bài tập theo cấp độ nâng lực</v>
      </c>
    </row>
    <row r="28">
      <c r="A28" s="9">
        <f t="shared" si="1"/>
        <v>27</v>
      </c>
      <c r="B28" s="1">
        <v>1.2200097E8</v>
      </c>
      <c r="C28" s="9" t="str">
        <f>VLOOKUP(B28,students!$B$2:$I$197,2,0)</f>
        <v>22CT111</v>
      </c>
      <c r="D28" s="9" t="str">
        <f>VLOOKUP(B28,students!$B$2:$I$197,3,0)</f>
        <v>Lê Huỳnh</v>
      </c>
      <c r="E28" s="9" t="str">
        <f>VLOOKUP(B28,students!$B$2:$I$197,4,0)</f>
        <v>Phúc</v>
      </c>
      <c r="F28" s="15">
        <f>VLOOKUP(B28,students!$B$2:$I$197,7,0)</f>
        <v>966186920</v>
      </c>
      <c r="G28" s="9" t="str">
        <f>if(ISNA(VLOOKUP(B28,F_DangKiGiaoVien!$C$2:$Q999,2,0)),"Chưa ĐK","Đã ĐK")</f>
        <v>Đã ĐK</v>
      </c>
      <c r="H28" s="9" t="str">
        <f>if(ISNA(VLOOKUP(B28,F_DangKiGiaoVien!$C$2:$Q999,5,0)),"",VLOOKUP(B28,F_DangKiGiaoVien!$C$2:$Q999,5,0))</f>
        <v>Thực hiện đồ án tốt nghiệp</v>
      </c>
      <c r="I28" s="9" t="str">
        <f>if(ISNA(VLOOKUP(B28,F_DangKiGiaoVien!$C$2:$Q999,2,0)),"",VLOOKUP(B28,F_DangKiGiaoVien!$C$2:$Q999,6,0))</f>
        <v>Nguyễn Vũ Thiên Phúc</v>
      </c>
      <c r="J28" s="1" t="s">
        <v>392</v>
      </c>
      <c r="K28" s="9" t="str">
        <f>if(ISNA(VLOOKUP(B28,F_DangKiGiaoVien!$C$2:$Q999,2,0)),"",VLOOKUP(B28,F_DangKiGiaoVien!$C$2:$Q999,8,0))</f>
        <v>Mô phỏng mạng doanh nghiệp trên Cisco Packet Tracer</v>
      </c>
    </row>
    <row r="29">
      <c r="A29" s="9">
        <f t="shared" si="1"/>
        <v>28</v>
      </c>
      <c r="B29" s="1">
        <v>1.22001011E8</v>
      </c>
      <c r="C29" s="9" t="str">
        <f>VLOOKUP(B29,students!$B$2:$I$197,2,0)</f>
        <v>22CT111</v>
      </c>
      <c r="D29" s="9" t="str">
        <f>VLOOKUP(B29,students!$B$2:$I$197,3,0)</f>
        <v>Lê Đức</v>
      </c>
      <c r="E29" s="9" t="str">
        <f>VLOOKUP(B29,students!$B$2:$I$197,4,0)</f>
        <v>Thịnh</v>
      </c>
      <c r="F29" s="15">
        <f>VLOOKUP(B29,students!$B$2:$I$197,7,0)</f>
        <v>367075722</v>
      </c>
      <c r="G29" s="9" t="str">
        <f>if(ISNA(VLOOKUP(B29,F_DangKiGiaoVien!$C$2:$Q999,2,0)),"Chưa ĐK","Đã ĐK")</f>
        <v>Đã ĐK</v>
      </c>
      <c r="H29" s="9" t="str">
        <f>if(ISNA(VLOOKUP(B29,F_DangKiGiaoVien!$C$2:$Q999,5,0)),"",VLOOKUP(B29,F_DangKiGiaoVien!$C$2:$Q999,5,0))</f>
        <v>Thực hiện đồ án tốt nghiệp</v>
      </c>
      <c r="I29" s="9" t="str">
        <f>if(ISNA(VLOOKUP(B29,F_DangKiGiaoVien!$C$2:$Q999,2,0)),"",VLOOKUP(B29,F_DangKiGiaoVien!$C$2:$Q999,6,0))</f>
        <v>Nguyễn Văn Phi</v>
      </c>
      <c r="J29" s="1" t="s">
        <v>392</v>
      </c>
      <c r="K29" s="9" t="str">
        <f>if(ISNA(VLOOKUP(B29,F_DangKiGiaoVien!$C$2:$Q999,2,0)),"",VLOOKUP(B29,F_DangKiGiaoVien!$C$2:$Q999,8,0))</f>
        <v>Thiết lập mô hình Tường lửa Sophos UTM kết hợp Microsoft Active Directory để kiểm soát người dùng cho doanh nghiệp</v>
      </c>
    </row>
    <row r="30">
      <c r="A30" s="9">
        <f t="shared" si="1"/>
        <v>29</v>
      </c>
      <c r="B30" s="1">
        <v>1.22001282E8</v>
      </c>
      <c r="C30" s="9" t="str">
        <f>VLOOKUP(B30,students!$B$2:$I$197,2,0)</f>
        <v>22CT111</v>
      </c>
      <c r="D30" s="9" t="str">
        <f>VLOOKUP(B30,students!$B$2:$I$197,3,0)</f>
        <v>Phạm</v>
      </c>
      <c r="E30" s="9" t="str">
        <f>VLOOKUP(B30,students!$B$2:$I$197,4,0)</f>
        <v>Dũng</v>
      </c>
      <c r="F30" s="15">
        <f>VLOOKUP(B30,students!$B$2:$I$197,7,0)</f>
        <v>976541503</v>
      </c>
      <c r="G30" s="9" t="str">
        <f>if(ISNA(VLOOKUP(B30,F_DangKiGiaoVien!$C$2:$Q999,2,0)),"Chưa ĐK","Đã ĐK")</f>
        <v>Đã ĐK</v>
      </c>
      <c r="H30" s="9" t="str">
        <f>if(ISNA(VLOOKUP(B30,F_DangKiGiaoVien!$C$2:$Q999,5,0)),"",VLOOKUP(B30,F_DangKiGiaoVien!$C$2:$Q999,5,0))</f>
        <v>Thực hiện đồ án tốt nghiệp</v>
      </c>
      <c r="I30" s="9" t="str">
        <f>if(ISNA(VLOOKUP(B30,F_DangKiGiaoVien!$C$2:$Q999,2,0)),"",VLOOKUP(B30,F_DangKiGiaoVien!$C$2:$Q999,6,0))</f>
        <v>Nguyễn Vũ Duy Quang</v>
      </c>
      <c r="J30" s="1" t="s">
        <v>392</v>
      </c>
      <c r="K30" s="9" t="str">
        <f>if(ISNA(VLOOKUP(B30,F_DangKiGiaoVien!$C$2:$Q999,2,0)),"",VLOOKUP(B30,F_DangKiGiaoVien!$C$2:$Q999,8,0))</f>
        <v>NGHIÊN CỨU VÀ XÂY DỰNG MÔ HÌNH CHIA SẺ TÀI LIỆU MẬT AN TOÀN TRÊN NỀN TẢNG WEBSITE</v>
      </c>
    </row>
    <row r="31">
      <c r="A31" s="9">
        <f t="shared" si="1"/>
        <v>30</v>
      </c>
      <c r="B31" s="1">
        <v>1.2200135E8</v>
      </c>
      <c r="C31" s="9" t="str">
        <f>VLOOKUP(B31,students!$B$2:$I$197,2,0)</f>
        <v>22CT111</v>
      </c>
      <c r="D31" s="9" t="str">
        <f>VLOOKUP(B31,students!$B$2:$I$197,3,0)</f>
        <v>Lại Xuân</v>
      </c>
      <c r="E31" s="9" t="str">
        <f>VLOOKUP(B31,students!$B$2:$I$197,4,0)</f>
        <v>Quang</v>
      </c>
      <c r="F31" s="15">
        <f>VLOOKUP(B31,students!$B$2:$I$197,7,0)</f>
        <v>325906617</v>
      </c>
      <c r="G31" s="9" t="str">
        <f>if(ISNA(VLOOKUP(B31,F_DangKiGiaoVien!$C$2:$Q999,2,0)),"Chưa ĐK","Đã ĐK")</f>
        <v>Đã ĐK</v>
      </c>
      <c r="H31" s="9" t="str">
        <f>if(ISNA(VLOOKUP(B31,F_DangKiGiaoVien!$C$2:$Q999,5,0)),"",VLOOKUP(B31,F_DangKiGiaoVien!$C$2:$Q999,5,0))</f>
        <v>Thực hiện đồ án tốt nghiệp</v>
      </c>
      <c r="I31" s="9" t="str">
        <f>if(ISNA(VLOOKUP(B31,F_DangKiGiaoVien!$C$2:$Q999,2,0)),"",VLOOKUP(B31,F_DangKiGiaoVien!$C$2:$Q999,6,0))</f>
        <v>Nguyễn Vũ Duy Quang</v>
      </c>
      <c r="J31" s="1" t="s">
        <v>392</v>
      </c>
      <c r="K31" s="9" t="str">
        <f>if(ISNA(VLOOKUP(B31,F_DangKiGiaoVien!$C$2:$Q999,2,0)),"",VLOOKUP(B31,F_DangKiGiaoVien!$C$2:$Q999,8,0))</f>
        <v>NGHIÊN CỨU VÀ XÂY DỰNG MÔ HÌNH CHIA SẺ TÀI LIỆU MẬT AN TOÀN TRÊN NỀN TẢNG DESKTOP</v>
      </c>
    </row>
    <row r="32">
      <c r="A32" s="9">
        <f t="shared" si="1"/>
        <v>31</v>
      </c>
      <c r="B32" s="1">
        <v>1.22001361E8</v>
      </c>
      <c r="C32" s="9" t="str">
        <f>VLOOKUP(B32,students!$B$2:$I$197,2,0)</f>
        <v>22CT111</v>
      </c>
      <c r="D32" s="9" t="str">
        <f>VLOOKUP(B32,students!$B$2:$I$197,3,0)</f>
        <v>Nguyễn Đức</v>
      </c>
      <c r="E32" s="9" t="str">
        <f>VLOOKUP(B32,students!$B$2:$I$197,4,0)</f>
        <v>Phúc</v>
      </c>
      <c r="F32" s="15">
        <f>VLOOKUP(B32,students!$B$2:$I$197,7,0)</f>
        <v>961763318</v>
      </c>
      <c r="G32" s="9" t="str">
        <f>if(ISNA(VLOOKUP(B32,F_DangKiGiaoVien!$C$2:$Q999,2,0)),"Chưa ĐK","Đã ĐK")</f>
        <v>Đã ĐK</v>
      </c>
      <c r="H32" s="9" t="str">
        <f>if(ISNA(VLOOKUP(B32,F_DangKiGiaoVien!$C$2:$Q999,5,0)),"",VLOOKUP(B32,F_DangKiGiaoVien!$C$2:$Q999,5,0))</f>
        <v>Thực hiện đồ án tốt nghiệp</v>
      </c>
      <c r="I32" s="9" t="str">
        <f>if(ISNA(VLOOKUP(B32,F_DangKiGiaoVien!$C$2:$Q999,2,0)),"",VLOOKUP(B32,F_DangKiGiaoVien!$C$2:$Q999,6,0))</f>
        <v>Nguyễn Minh Phúc</v>
      </c>
      <c r="J32" s="1" t="s">
        <v>392</v>
      </c>
      <c r="K32" s="9" t="str">
        <f>if(ISNA(VLOOKUP(B32,F_DangKiGiaoVien!$C$2:$Q999,2,0)),"",VLOOKUP(B32,F_DangKiGiaoVien!$C$2:$Q999,8,0))</f>
        <v>Xây dựng module tìm bạn học dựa theo năng lực và sở thích</v>
      </c>
    </row>
    <row r="33">
      <c r="A33" s="9">
        <f t="shared" si="1"/>
        <v>32</v>
      </c>
      <c r="B33" s="1">
        <v>1.21000156E8</v>
      </c>
      <c r="C33" s="9" t="str">
        <f>VLOOKUP(B33,students!$B$2:$I$197,2,0)</f>
        <v>22CT112</v>
      </c>
      <c r="D33" s="9" t="str">
        <f>VLOOKUP(B33,students!$B$2:$I$197,3,0)</f>
        <v>Nguyễn Linh Quốc</v>
      </c>
      <c r="E33" s="9" t="str">
        <f>VLOOKUP(B33,students!$B$2:$I$197,4,0)</f>
        <v>Bảo</v>
      </c>
      <c r="F33" s="15">
        <f>VLOOKUP(B33,students!$B$2:$I$197,7,0)</f>
        <v>948418743</v>
      </c>
      <c r="G33" s="9" t="str">
        <f>if(ISNA(VLOOKUP(B33,F_DangKiGiaoVien!$C$2:$Q999,2,0)),"Chưa ĐK","Đã ĐK")</f>
        <v>Chưa ĐK</v>
      </c>
      <c r="H33" s="9" t="str">
        <f>if(ISNA(VLOOKUP(B33,F_DangKiGiaoVien!$C$2:$Q999,5,0)),"",VLOOKUP(B33,F_DangKiGiaoVien!$C$2:$Q999,5,0))</f>
        <v/>
      </c>
      <c r="I33" s="9" t="str">
        <f>if(ISNA(VLOOKUP(B33,F_DangKiGiaoVien!$C$2:$Q999,2,0)),"",VLOOKUP(B33,F_DangKiGiaoVien!$C$2:$Q999,6,0))</f>
        <v/>
      </c>
      <c r="J33" s="9"/>
      <c r="K33" s="9" t="str">
        <f>if(ISNA(VLOOKUP(B33,F_DangKiGiaoVien!$C$2:$Q999,2,0)),"",VLOOKUP(B33,F_DangKiGiaoVien!$C$2:$Q999,8,0))</f>
        <v/>
      </c>
    </row>
    <row r="34">
      <c r="A34" s="9">
        <f t="shared" si="1"/>
        <v>33</v>
      </c>
      <c r="B34" s="1">
        <v>1.2100124E8</v>
      </c>
      <c r="C34" s="9" t="str">
        <f>VLOOKUP(B34,students!$B$2:$I$197,2,0)</f>
        <v>22CT112</v>
      </c>
      <c r="D34" s="9" t="str">
        <f>VLOOKUP(B34,students!$B$2:$I$197,3,0)</f>
        <v>Đỗ Khắc</v>
      </c>
      <c r="E34" s="9" t="str">
        <f>VLOOKUP(B34,students!$B$2:$I$197,4,0)</f>
        <v>Đức</v>
      </c>
      <c r="F34" s="15">
        <f>VLOOKUP(B34,students!$B$2:$I$197,7,0)</f>
        <v>902186519</v>
      </c>
      <c r="G34" s="9" t="str">
        <f>if(ISNA(VLOOKUP(B34,F_DangKiGiaoVien!$C$2:$Q999,2,0)),"Chưa ĐK","Đã ĐK")</f>
        <v>Đã ĐK</v>
      </c>
      <c r="H34" s="9" t="str">
        <f>if(ISNA(VLOOKUP(B34,F_DangKiGiaoVien!$C$2:$Q999,5,0)),"",VLOOKUP(B34,F_DangKiGiaoVien!$C$2:$Q999,5,0))</f>
        <v>Thực hiện đồ án tốt nghiệp</v>
      </c>
      <c r="I34" s="9" t="str">
        <f>if(ISNA(VLOOKUP(B34,F_DangKiGiaoVien!$C$2:$Q999,2,0)),"",VLOOKUP(B34,F_DangKiGiaoVien!$C$2:$Q999,6,0))</f>
        <v>Hồ Ngọc Hoàng Long</v>
      </c>
      <c r="J34" s="1" t="s">
        <v>392</v>
      </c>
      <c r="K34" s="9" t="str">
        <f>if(ISNA(VLOOKUP(B34,F_DangKiGiaoVien!$C$2:$Q999,2,0)),"",VLOOKUP(B34,F_DangKiGiaoVien!$C$2:$Q999,8,0))</f>
        <v>Xây dựng hệ thống trợ lý ảo gợi ý thực phẩm dành cho người tập Gym(GYM FOOD AI)</v>
      </c>
    </row>
    <row r="35">
      <c r="A35" s="9">
        <f t="shared" si="1"/>
        <v>34</v>
      </c>
      <c r="B35" s="1">
        <v>1.22000118E8</v>
      </c>
      <c r="C35" s="9" t="str">
        <f>VLOOKUP(B35,students!$B$2:$I$197,2,0)</f>
        <v>22CT112</v>
      </c>
      <c r="D35" s="9" t="str">
        <f>VLOOKUP(B35,students!$B$2:$I$197,3,0)</f>
        <v>Nguyễn Khánh</v>
      </c>
      <c r="E35" s="9" t="str">
        <f>VLOOKUP(B35,students!$B$2:$I$197,4,0)</f>
        <v>Tâm</v>
      </c>
      <c r="F35" s="15">
        <f>VLOOKUP(B35,students!$B$2:$I$197,7,0)</f>
        <v>963296424</v>
      </c>
      <c r="G35" s="9" t="str">
        <f>if(ISNA(VLOOKUP(B35,F_DangKiGiaoVien!$C$2:$Q999,2,0)),"Chưa ĐK","Đã ĐK")</f>
        <v>Đã ĐK</v>
      </c>
      <c r="H35" s="9" t="str">
        <f>if(ISNA(VLOOKUP(B35,F_DangKiGiaoVien!$C$2:$Q999,5,0)),"",VLOOKUP(B35,F_DangKiGiaoVien!$C$2:$Q999,5,0))</f>
        <v>Thực hiện đồ án tốt nghiệp</v>
      </c>
      <c r="I35" s="9" t="str">
        <f>if(ISNA(VLOOKUP(B35,F_DangKiGiaoVien!$C$2:$Q999,2,0)),"",VLOOKUP(B35,F_DangKiGiaoVien!$C$2:$Q999,6,0))</f>
        <v>Nguyễn Minh Phúc</v>
      </c>
      <c r="J35" s="1" t="s">
        <v>392</v>
      </c>
      <c r="K35" s="9" t="str">
        <f>if(ISNA(VLOOKUP(B35,F_DangKiGiaoVien!$C$2:$Q999,2,0)),"",VLOOKUP(B35,F_DangKiGiaoVien!$C$2:$Q999,8,0))</f>
        <v>Xây dựng module phân loại và chia nhóm học tập cho sinh viên theo nhiều tiêu chí</v>
      </c>
    </row>
    <row r="36">
      <c r="A36" s="9">
        <f t="shared" si="1"/>
        <v>35</v>
      </c>
      <c r="B36" s="1">
        <v>1.22000163E8</v>
      </c>
      <c r="C36" s="9" t="str">
        <f>VLOOKUP(B36,students!$B$2:$I$197,2,0)</f>
        <v>22CT112</v>
      </c>
      <c r="D36" s="9" t="str">
        <f>VLOOKUP(B36,students!$B$2:$I$197,3,0)</f>
        <v>Trần Gia</v>
      </c>
      <c r="E36" s="9" t="str">
        <f>VLOOKUP(B36,students!$B$2:$I$197,4,0)</f>
        <v>Huy</v>
      </c>
      <c r="F36" s="15">
        <f>VLOOKUP(B36,students!$B$2:$I$197,7,0)</f>
        <v>933064408</v>
      </c>
      <c r="G36" s="9" t="str">
        <f>if(ISNA(VLOOKUP(B36,F_DangKiGiaoVien!$C$2:$Q999,2,0)),"Chưa ĐK","Đã ĐK")</f>
        <v>Đã ĐK</v>
      </c>
      <c r="H36" s="9" t="str">
        <f>if(ISNA(VLOOKUP(B36,F_DangKiGiaoVien!$C$2:$Q999,5,0)),"",VLOOKUP(B36,F_DangKiGiaoVien!$C$2:$Q999,5,0))</f>
        <v>Thực hiện đồ án tốt nghiệp</v>
      </c>
      <c r="I36" s="9" t="str">
        <f>if(ISNA(VLOOKUP(B36,F_DangKiGiaoVien!$C$2:$Q999,2,0)),"",VLOOKUP(B36,F_DangKiGiaoVien!$C$2:$Q999,6,0))</f>
        <v>Phan Tuấn Lực</v>
      </c>
      <c r="J36" s="1" t="s">
        <v>392</v>
      </c>
      <c r="K36" s="9" t="str">
        <f>if(ISNA(VLOOKUP(B36,F_DangKiGiaoVien!$C$2:$Q999,2,0)),"",VLOOKUP(B36,F_DangKiGiaoVien!$C$2:$Q999,8,0))</f>
        <v>Phát Triển Ứng Dụng NetLens Giám Sát và Quản Lý Hệ Thống Mạng</v>
      </c>
    </row>
    <row r="37">
      <c r="A37" s="9">
        <f t="shared" si="1"/>
        <v>36</v>
      </c>
      <c r="B37" s="1">
        <v>1.22000181E8</v>
      </c>
      <c r="C37" s="9" t="str">
        <f>VLOOKUP(B37,students!$B$2:$I$197,2,0)</f>
        <v>22CT112</v>
      </c>
      <c r="D37" s="9" t="str">
        <f>VLOOKUP(B37,students!$B$2:$I$197,3,0)</f>
        <v>Vũ Văn</v>
      </c>
      <c r="E37" s="9" t="str">
        <f>VLOOKUP(B37,students!$B$2:$I$197,4,0)</f>
        <v>Phú</v>
      </c>
      <c r="F37" s="15">
        <f>VLOOKUP(B37,students!$B$2:$I$197,7,0)</f>
        <v>865864336</v>
      </c>
      <c r="G37" s="9" t="str">
        <f>if(ISNA(VLOOKUP(B37,F_DangKiGiaoVien!$C$2:$Q999,2,0)),"Chưa ĐK","Đã ĐK")</f>
        <v>Đã ĐK</v>
      </c>
      <c r="H37" s="9" t="str">
        <f>if(ISNA(VLOOKUP(B37,F_DangKiGiaoVien!$C$2:$Q999,5,0)),"",VLOOKUP(B37,F_DangKiGiaoVien!$C$2:$Q999,5,0))</f>
        <v>Thực hiện đồ án tốt nghiệp</v>
      </c>
      <c r="I37" s="9" t="str">
        <f>if(ISNA(VLOOKUP(B37,F_DangKiGiaoVien!$C$2:$Q999,2,0)),"",VLOOKUP(B37,F_DangKiGiaoVien!$C$2:$Q999,6,0))</f>
        <v>Phan Tuấn Lực</v>
      </c>
      <c r="J37" s="1" t="s">
        <v>392</v>
      </c>
      <c r="K37" s="9" t="str">
        <f>if(ISNA(VLOOKUP(B37,F_DangKiGiaoVien!$C$2:$Q999,2,0)),"",VLOOKUP(B37,F_DangKiGiaoVien!$C$2:$Q999,8,0))</f>
        <v>Phát Triển Ứng Dụng NetLens Giám Sát và Quản Lý Hệ Thống Mạng</v>
      </c>
    </row>
    <row r="38">
      <c r="A38" s="9">
        <f t="shared" si="1"/>
        <v>37</v>
      </c>
      <c r="B38" s="1">
        <v>1.22000273E8</v>
      </c>
      <c r="C38" s="9" t="str">
        <f>VLOOKUP(B38,students!$B$2:$I$197,2,0)</f>
        <v>22CT112</v>
      </c>
      <c r="D38" s="9" t="str">
        <f>VLOOKUP(B38,students!$B$2:$I$197,3,0)</f>
        <v>Dương Đình</v>
      </c>
      <c r="E38" s="9" t="str">
        <f>VLOOKUP(B38,students!$B$2:$I$197,4,0)</f>
        <v>Đăng</v>
      </c>
      <c r="F38" s="15">
        <f>VLOOKUP(B38,students!$B$2:$I$197,7,0)</f>
        <v>917693916</v>
      </c>
      <c r="G38" s="9" t="str">
        <f>if(ISNA(VLOOKUP(B38,F_DangKiGiaoVien!$C$2:$Q999,2,0)),"Chưa ĐK","Đã ĐK")</f>
        <v>Đã ĐK</v>
      </c>
      <c r="H38" s="9" t="str">
        <f>if(ISNA(VLOOKUP(B38,F_DangKiGiaoVien!$C$2:$Q999,5,0)),"",VLOOKUP(B38,F_DangKiGiaoVien!$C$2:$Q999,5,0))</f>
        <v>Thực hiện đồ án tốt nghiệp</v>
      </c>
      <c r="I38" s="9" t="str">
        <f>if(ISNA(VLOOKUP(B38,F_DangKiGiaoVien!$C$2:$Q999,2,0)),"",VLOOKUP(B38,F_DangKiGiaoVien!$C$2:$Q999,6,0))</f>
        <v>Nguyễn Minh Phúc</v>
      </c>
      <c r="J38" s="1" t="s">
        <v>392</v>
      </c>
      <c r="K38" s="9" t="str">
        <f>if(ISNA(VLOOKUP(B38,F_DangKiGiaoVien!$C$2:$Q999,2,0)),"",VLOOKUP(B38,F_DangKiGiaoVien!$C$2:$Q999,8,0))</f>
        <v>Xây dựng module phân loại và chia nhóm học tập cho sinh viên theo nhiều tiêu chí</v>
      </c>
    </row>
    <row r="39">
      <c r="A39" s="9">
        <f t="shared" si="1"/>
        <v>38</v>
      </c>
      <c r="B39" s="1">
        <v>1.22000331E8</v>
      </c>
      <c r="C39" s="9" t="str">
        <f>VLOOKUP(B39,students!$B$2:$I$197,2,0)</f>
        <v>22CT112</v>
      </c>
      <c r="D39" s="9" t="str">
        <f>VLOOKUP(B39,students!$B$2:$I$197,3,0)</f>
        <v>Nguyễn Thế Minh</v>
      </c>
      <c r="E39" s="9" t="str">
        <f>VLOOKUP(B39,students!$B$2:$I$197,4,0)</f>
        <v>Thiện</v>
      </c>
      <c r="F39" s="15">
        <f>VLOOKUP(B39,students!$B$2:$I$197,7,0)</f>
        <v>369246243</v>
      </c>
      <c r="G39" s="9" t="str">
        <f>if(ISNA(VLOOKUP(B39,F_DangKiGiaoVien!$C$2:$Q999,2,0)),"Chưa ĐK","Đã ĐK")</f>
        <v>Đã ĐK</v>
      </c>
      <c r="H39" s="9" t="str">
        <f>if(ISNA(VLOOKUP(B39,F_DangKiGiaoVien!$C$2:$Q999,5,0)),"",VLOOKUP(B39,F_DangKiGiaoVien!$C$2:$Q999,5,0))</f>
        <v>Thực hiện đồ án tốt nghiệp</v>
      </c>
      <c r="I39" s="9" t="str">
        <f>if(ISNA(VLOOKUP(B39,F_DangKiGiaoVien!$C$2:$Q999,2,0)),"",VLOOKUP(B39,F_DangKiGiaoVien!$C$2:$Q999,6,0))</f>
        <v>Nguyễn Minh Phúc</v>
      </c>
      <c r="J39" s="1" t="s">
        <v>392</v>
      </c>
      <c r="K39" s="9" t="str">
        <f>if(ISNA(VLOOKUP(B39,F_DangKiGiaoVien!$C$2:$Q999,2,0)),"",VLOOKUP(B39,F_DangKiGiaoVien!$C$2:$Q999,8,0))</f>
        <v>Phát triển hệ thống bán hàng cho hộ kinh doanh nhỏ tích hợp công nghệ nhận dạng giọng nói</v>
      </c>
    </row>
    <row r="40">
      <c r="A40" s="9">
        <f t="shared" si="1"/>
        <v>39</v>
      </c>
      <c r="B40" s="1">
        <v>1.22000421E8</v>
      </c>
      <c r="C40" s="9" t="str">
        <f>VLOOKUP(B40,students!$B$2:$I$197,2,0)</f>
        <v>22CT112</v>
      </c>
      <c r="D40" s="9" t="str">
        <f>VLOOKUP(B40,students!$B$2:$I$197,3,0)</f>
        <v>Nguyễn Sơn Phi</v>
      </c>
      <c r="E40" s="9" t="str">
        <f>VLOOKUP(B40,students!$B$2:$I$197,4,0)</f>
        <v>Hoàng</v>
      </c>
      <c r="F40" s="15">
        <f>VLOOKUP(B40,students!$B$2:$I$197,7,0)</f>
        <v>346980771</v>
      </c>
      <c r="G40" s="9" t="str">
        <f>if(ISNA(VLOOKUP(B40,F_DangKiGiaoVien!$C$2:$Q999,2,0)),"Chưa ĐK","Đã ĐK")</f>
        <v>Đã ĐK</v>
      </c>
      <c r="H40" s="9" t="str">
        <f>if(ISNA(VLOOKUP(B40,F_DangKiGiaoVien!$C$2:$Q999,5,0)),"",VLOOKUP(B40,F_DangKiGiaoVien!$C$2:$Q999,5,0))</f>
        <v>Thực hiện đồ án tốt nghiệp</v>
      </c>
      <c r="I40" s="9" t="str">
        <f>if(ISNA(VLOOKUP(B40,F_DangKiGiaoVien!$C$2:$Q999,2,0)),"",VLOOKUP(B40,F_DangKiGiaoVien!$C$2:$Q999,6,0))</f>
        <v>Hồ Ngọc Hoàng Long</v>
      </c>
      <c r="J40" s="1" t="s">
        <v>392</v>
      </c>
      <c r="K40" s="9" t="str">
        <f>if(ISNA(VLOOKUP(B40,F_DangKiGiaoVien!$C$2:$Q999,2,0)),"",VLOOKUP(B40,F_DangKiGiaoVien!$C$2:$Q999,8,0))</f>
        <v>Ứng Dụng AI Học Ngoại Ngữ</v>
      </c>
    </row>
    <row r="41">
      <c r="A41" s="9">
        <f t="shared" si="1"/>
        <v>40</v>
      </c>
      <c r="B41" s="1">
        <v>1.22000537E8</v>
      </c>
      <c r="C41" s="9" t="str">
        <f>VLOOKUP(B41,students!$B$2:$I$197,2,0)</f>
        <v>22CT112</v>
      </c>
      <c r="D41" s="9" t="str">
        <f>VLOOKUP(B41,students!$B$2:$I$197,3,0)</f>
        <v>Trịnh Vũ Tuấn</v>
      </c>
      <c r="E41" s="9" t="str">
        <f>VLOOKUP(B41,students!$B$2:$I$197,4,0)</f>
        <v>Minh</v>
      </c>
      <c r="F41" s="15">
        <f>VLOOKUP(B41,students!$B$2:$I$197,7,0)</f>
        <v>357976359</v>
      </c>
      <c r="G41" s="9" t="str">
        <f>if(ISNA(VLOOKUP(B41,F_DangKiGiaoVien!$C$2:$Q999,2,0)),"Chưa ĐK","Đã ĐK")</f>
        <v>Đã ĐK</v>
      </c>
      <c r="H41" s="9" t="str">
        <f>if(ISNA(VLOOKUP(B41,F_DangKiGiaoVien!$C$2:$Q999,5,0)),"",VLOOKUP(B41,F_DangKiGiaoVien!$C$2:$Q999,5,0))</f>
        <v>Thực hiện đồ án tốt nghiệp</v>
      </c>
      <c r="I41" s="9" t="str">
        <f>if(ISNA(VLOOKUP(B41,F_DangKiGiaoVien!$C$2:$Q999,2,0)),"",VLOOKUP(B41,F_DangKiGiaoVien!$C$2:$Q999,6,0))</f>
        <v>Nguyễn Minh Phúc</v>
      </c>
      <c r="J41" s="1" t="s">
        <v>392</v>
      </c>
      <c r="K41" s="9" t="str">
        <f>if(ISNA(VLOOKUP(B41,F_DangKiGiaoVien!$C$2:$Q999,2,0)),"",VLOOKUP(B41,F_DangKiGiaoVien!$C$2:$Q999,8,0))</f>
        <v>Xây dựng Dashboard quản lý tiến độ học lập trình cho Quản lý ngành</v>
      </c>
    </row>
    <row r="42">
      <c r="A42" s="9">
        <f t="shared" si="1"/>
        <v>41</v>
      </c>
      <c r="B42" s="1">
        <v>1.2200055E8</v>
      </c>
      <c r="C42" s="9" t="str">
        <f>VLOOKUP(B42,students!$B$2:$I$197,2,0)</f>
        <v>22CT112</v>
      </c>
      <c r="D42" s="9" t="str">
        <f>VLOOKUP(B42,students!$B$2:$I$197,3,0)</f>
        <v>Tạ Ngọc Phi</v>
      </c>
      <c r="E42" s="9" t="str">
        <f>VLOOKUP(B42,students!$B$2:$I$197,4,0)</f>
        <v>Phi</v>
      </c>
      <c r="F42" s="15">
        <f>VLOOKUP(B42,students!$B$2:$I$197,7,0)</f>
        <v>348214308</v>
      </c>
      <c r="G42" s="9" t="str">
        <f>if(ISNA(VLOOKUP(B42,F_DangKiGiaoVien!$C$2:$Q999,2,0)),"Chưa ĐK","Đã ĐK")</f>
        <v>Đã ĐK</v>
      </c>
      <c r="H42" s="9" t="str">
        <f>if(ISNA(VLOOKUP(B42,F_DangKiGiaoVien!$C$2:$Q999,5,0)),"",VLOOKUP(B42,F_DangKiGiaoVien!$C$2:$Q999,5,0))</f>
        <v>Thực hiện đồ án tốt nghiệp</v>
      </c>
      <c r="I42" s="9" t="str">
        <f>if(ISNA(VLOOKUP(B42,F_DangKiGiaoVien!$C$2:$Q999,2,0)),"",VLOOKUP(B42,F_DangKiGiaoVien!$C$2:$Q999,6,0))</f>
        <v>Nguyễn Minh Phúc</v>
      </c>
      <c r="J42" s="1" t="s">
        <v>392</v>
      </c>
      <c r="K42" s="9" t="str">
        <f>if(ISNA(VLOOKUP(B42,F_DangKiGiaoVien!$C$2:$Q999,2,0)),"",VLOOKUP(B42,F_DangKiGiaoVien!$C$2:$Q999,8,0))</f>
        <v>XÂY DỰNG DASHBOARD CÁ NHÂN HÓA CHO SINH VIÊN TRÊN HỆ THỐNG QUẢN LÝ HỌC TẬP (LMS)</v>
      </c>
    </row>
    <row r="43">
      <c r="A43" s="9">
        <f t="shared" si="1"/>
        <v>42</v>
      </c>
      <c r="B43" s="1">
        <v>1.22000575E8</v>
      </c>
      <c r="C43" s="9" t="str">
        <f>VLOOKUP(B43,students!$B$2:$I$197,2,0)</f>
        <v>22CT112</v>
      </c>
      <c r="D43" s="9" t="str">
        <f>VLOOKUP(B43,students!$B$2:$I$197,3,0)</f>
        <v>Nguyễn Doãn Minh</v>
      </c>
      <c r="E43" s="9" t="str">
        <f>VLOOKUP(B43,students!$B$2:$I$197,4,0)</f>
        <v>Như</v>
      </c>
      <c r="F43" s="15">
        <f>VLOOKUP(B43,students!$B$2:$I$197,7,0)</f>
        <v>937384680</v>
      </c>
      <c r="G43" s="9" t="str">
        <f>if(ISNA(VLOOKUP(B43,F_DangKiGiaoVien!$C$2:$Q999,2,0)),"Chưa ĐK","Đã ĐK")</f>
        <v>Đã ĐK</v>
      </c>
      <c r="H43" s="9" t="str">
        <f>if(ISNA(VLOOKUP(B43,F_DangKiGiaoVien!$C$2:$Q999,5,0)),"",VLOOKUP(B43,F_DangKiGiaoVien!$C$2:$Q999,5,0))</f>
        <v>Thực hiện đồ án tốt nghiệp</v>
      </c>
      <c r="I43" s="9" t="str">
        <f>if(ISNA(VLOOKUP(B43,F_DangKiGiaoVien!$C$2:$Q999,2,0)),"",VLOOKUP(B43,F_DangKiGiaoVien!$C$2:$Q999,6,0))</f>
        <v>Nguyễn Minh Phúc</v>
      </c>
      <c r="J43" s="1" t="s">
        <v>392</v>
      </c>
      <c r="K43" s="9" t="str">
        <f>if(ISNA(VLOOKUP(B43,F_DangKiGiaoVien!$C$2:$Q999,2,0)),"",VLOOKUP(B43,F_DangKiGiaoVien!$C$2:$Q999,8,0))</f>
        <v>Xây Dựng Module Thiết Kế Lộ Trình Học Tập Thích Ứng Theo Năng Lực (Adaptive Learning Path)</v>
      </c>
    </row>
    <row r="44">
      <c r="A44" s="9">
        <f t="shared" si="1"/>
        <v>43</v>
      </c>
      <c r="B44" s="1">
        <v>1.22000584E8</v>
      </c>
      <c r="C44" s="9" t="str">
        <f>VLOOKUP(B44,students!$B$2:$I$197,2,0)</f>
        <v>22CT112</v>
      </c>
      <c r="D44" s="9" t="str">
        <f>VLOOKUP(B44,students!$B$2:$I$197,3,0)</f>
        <v>Huỳnh Ngọc</v>
      </c>
      <c r="E44" s="9" t="str">
        <f>VLOOKUP(B44,students!$B$2:$I$197,4,0)</f>
        <v>Nghị</v>
      </c>
      <c r="F44" s="15">
        <f>VLOOKUP(B44,students!$B$2:$I$197,7,0)</f>
        <v>328301840</v>
      </c>
      <c r="G44" s="9" t="str">
        <f>if(ISNA(VLOOKUP(B44,F_DangKiGiaoVien!$C$2:$Q999,2,0)),"Chưa ĐK","Đã ĐK")</f>
        <v>Đã ĐK</v>
      </c>
      <c r="H44" s="9" t="str">
        <f>if(ISNA(VLOOKUP(B44,F_DangKiGiaoVien!$C$2:$Q999,5,0)),"",VLOOKUP(B44,F_DangKiGiaoVien!$C$2:$Q999,5,0))</f>
        <v>Thực hiện đồ án tốt nghiệp</v>
      </c>
      <c r="I44" s="9" t="str">
        <f>if(ISNA(VLOOKUP(B44,F_DangKiGiaoVien!$C$2:$Q999,2,0)),"",VLOOKUP(B44,F_DangKiGiaoVien!$C$2:$Q999,6,0))</f>
        <v>Phan Thị Hường</v>
      </c>
      <c r="J44" s="1" t="s">
        <v>392</v>
      </c>
      <c r="K44" s="9" t="str">
        <f>if(ISNA(VLOOKUP(B44,F_DangKiGiaoVien!$C$2:$Q999,2,0)),"",VLOOKUP(B44,F_DangKiGiaoVien!$C$2:$Q999,8,0))</f>
        <v>Agent tư vấn chế độ ăn uống cho bệnh nhân cường giáp</v>
      </c>
    </row>
    <row r="45">
      <c r="A45" s="9">
        <f t="shared" si="1"/>
        <v>44</v>
      </c>
      <c r="B45" s="1">
        <v>1.22000644E8</v>
      </c>
      <c r="C45" s="9" t="str">
        <f>VLOOKUP(B45,students!$B$2:$I$197,2,0)</f>
        <v>22CT112</v>
      </c>
      <c r="D45" s="9" t="str">
        <f>VLOOKUP(B45,students!$B$2:$I$197,3,0)</f>
        <v>Võ Đại</v>
      </c>
      <c r="E45" s="9" t="str">
        <f>VLOOKUP(B45,students!$B$2:$I$197,4,0)</f>
        <v>Nhân</v>
      </c>
      <c r="F45" s="15">
        <f>VLOOKUP(B45,students!$B$2:$I$197,7,0)</f>
        <v>388963814</v>
      </c>
      <c r="G45" s="9" t="str">
        <f>if(ISNA(VLOOKUP(B45,F_DangKiGiaoVien!$C$2:$Q999,2,0)),"Chưa ĐK","Đã ĐK")</f>
        <v>Đã ĐK</v>
      </c>
      <c r="H45" s="9" t="str">
        <f>if(ISNA(VLOOKUP(B45,F_DangKiGiaoVien!$C$2:$Q999,5,0)),"",VLOOKUP(B45,F_DangKiGiaoVien!$C$2:$Q999,5,0))</f>
        <v>Thực hiện đồ án tốt nghiệp</v>
      </c>
      <c r="I45" s="9" t="str">
        <f>if(ISNA(VLOOKUP(B45,F_DangKiGiaoVien!$C$2:$Q999,2,0)),"",VLOOKUP(B45,F_DangKiGiaoVien!$C$2:$Q999,6,0))</f>
        <v>Nguyễn Minh Phúc</v>
      </c>
      <c r="J45" s="1" t="s">
        <v>392</v>
      </c>
      <c r="K45" s="9" t="str">
        <f>if(ISNA(VLOOKUP(B45,F_DangKiGiaoVien!$C$2:$Q999,2,0)),"",VLOOKUP(B45,F_DangKiGiaoVien!$C$2:$Q999,8,0))</f>
        <v>Phát triển hệ thống bán hàng cho hộ kinh doanh nhỏ tích hợp công nghệ nhận dạng giọng nói</v>
      </c>
    </row>
    <row r="46">
      <c r="A46" s="9">
        <f t="shared" si="1"/>
        <v>45</v>
      </c>
      <c r="B46" s="1">
        <v>1.22000755E8</v>
      </c>
      <c r="C46" s="9" t="str">
        <f>VLOOKUP(B46,students!$B$2:$I$197,2,0)</f>
        <v>22CT112</v>
      </c>
      <c r="D46" s="9" t="str">
        <f>VLOOKUP(B46,students!$B$2:$I$197,3,0)</f>
        <v>Nguyễn Duy</v>
      </c>
      <c r="E46" s="9" t="str">
        <f>VLOOKUP(B46,students!$B$2:$I$197,4,0)</f>
        <v>Độ</v>
      </c>
      <c r="F46" s="15">
        <f>VLOOKUP(B46,students!$B$2:$I$197,7,0)</f>
        <v>584285823</v>
      </c>
      <c r="G46" s="9" t="str">
        <f>if(ISNA(VLOOKUP(B46,F_DangKiGiaoVien!$C$2:$Q999,2,0)),"Chưa ĐK","Đã ĐK")</f>
        <v>Đã ĐK</v>
      </c>
      <c r="H46" s="9" t="str">
        <f>if(ISNA(VLOOKUP(B46,F_DangKiGiaoVien!$C$2:$Q999,5,0)),"",VLOOKUP(B46,F_DangKiGiaoVien!$C$2:$Q999,5,0))</f>
        <v>Đặc cách tốt nghiệp</v>
      </c>
      <c r="I46" s="9" t="str">
        <f>if(ISNA(VLOOKUP(B46,F_DangKiGiaoVien!$C$2:$Q999,2,0)),"",VLOOKUP(B46,F_DangKiGiaoVien!$C$2:$Q999,6,0))</f>
        <v>Đặc cách tốt nghiệp</v>
      </c>
      <c r="J46" s="1" t="s">
        <v>392</v>
      </c>
      <c r="K46" s="9" t="str">
        <f>if(ISNA(VLOOKUP(B46,F_DangKiGiaoVien!$C$2:$Q999,2,0)),"",VLOOKUP(B46,F_DangKiGiaoVien!$C$2:$Q999,8,0))</f>
        <v/>
      </c>
    </row>
    <row r="47">
      <c r="A47" s="9">
        <f t="shared" si="1"/>
        <v>46</v>
      </c>
      <c r="B47" s="1">
        <v>1.22000757E8</v>
      </c>
      <c r="C47" s="9" t="str">
        <f>VLOOKUP(B47,students!$B$2:$I$197,2,0)</f>
        <v>22CT112</v>
      </c>
      <c r="D47" s="9" t="str">
        <f>VLOOKUP(B47,students!$B$2:$I$197,3,0)</f>
        <v>Nguyễn Hoàng</v>
      </c>
      <c r="E47" s="9" t="str">
        <f>VLOOKUP(B47,students!$B$2:$I$197,4,0)</f>
        <v>Hưng</v>
      </c>
      <c r="F47" s="15">
        <f>VLOOKUP(B47,students!$B$2:$I$197,7,0)</f>
        <v>833911375</v>
      </c>
      <c r="G47" s="9" t="str">
        <f>if(ISNA(VLOOKUP(B47,F_DangKiGiaoVien!$C$2:$Q999,2,0)),"Chưa ĐK","Đã ĐK")</f>
        <v>Đã ĐK</v>
      </c>
      <c r="H47" s="9" t="str">
        <f>if(ISNA(VLOOKUP(B47,F_DangKiGiaoVien!$C$2:$Q999,5,0)),"",VLOOKUP(B47,F_DangKiGiaoVien!$C$2:$Q999,5,0))</f>
        <v>Đặc cách tốt nghiệp</v>
      </c>
      <c r="I47" s="9" t="str">
        <f>if(ISNA(VLOOKUP(B47,F_DangKiGiaoVien!$C$2:$Q999,2,0)),"",VLOOKUP(B47,F_DangKiGiaoVien!$C$2:$Q999,6,0))</f>
        <v>Đặc cách tốt nghiệp</v>
      </c>
      <c r="J47" s="1" t="s">
        <v>392</v>
      </c>
      <c r="K47" s="9" t="str">
        <f>if(ISNA(VLOOKUP(B47,F_DangKiGiaoVien!$C$2:$Q999,2,0)),"",VLOOKUP(B47,F_DangKiGiaoVien!$C$2:$Q999,8,0))</f>
        <v/>
      </c>
    </row>
    <row r="48">
      <c r="A48" s="9">
        <f t="shared" si="1"/>
        <v>47</v>
      </c>
      <c r="B48" s="1">
        <v>1.22000759E8</v>
      </c>
      <c r="C48" s="9" t="str">
        <f>VLOOKUP(B48,students!$B$2:$I$197,2,0)</f>
        <v>22CT112</v>
      </c>
      <c r="D48" s="9" t="str">
        <f>VLOOKUP(B48,students!$B$2:$I$197,3,0)</f>
        <v>Bùi Bình</v>
      </c>
      <c r="E48" s="9" t="str">
        <f>VLOOKUP(B48,students!$B$2:$I$197,4,0)</f>
        <v>Minh</v>
      </c>
      <c r="F48" s="15">
        <f>VLOOKUP(B48,students!$B$2:$I$197,7,0)</f>
        <v>973212834</v>
      </c>
      <c r="G48" s="9" t="str">
        <f>if(ISNA(VLOOKUP(B48,F_DangKiGiaoVien!$C$2:$Q999,2,0)),"Chưa ĐK","Đã ĐK")</f>
        <v>Đã ĐK</v>
      </c>
      <c r="H48" s="9" t="str">
        <f>if(ISNA(VLOOKUP(B48,F_DangKiGiaoVien!$C$2:$Q999,5,0)),"",VLOOKUP(B48,F_DangKiGiaoVien!$C$2:$Q999,5,0))</f>
        <v>Đặc cách tốt nghiệp</v>
      </c>
      <c r="I48" s="9" t="str">
        <f>if(ISNA(VLOOKUP(B48,F_DangKiGiaoVien!$C$2:$Q999,2,0)),"",VLOOKUP(B48,F_DangKiGiaoVien!$C$2:$Q999,6,0))</f>
        <v/>
      </c>
      <c r="J48" s="9"/>
      <c r="K48" s="9" t="str">
        <f>if(ISNA(VLOOKUP(B48,F_DangKiGiaoVien!$C$2:$Q999,2,0)),"",VLOOKUP(B48,F_DangKiGiaoVien!$C$2:$Q999,8,0))</f>
        <v/>
      </c>
    </row>
    <row r="49">
      <c r="A49" s="9">
        <f t="shared" si="1"/>
        <v>48</v>
      </c>
      <c r="B49" s="1">
        <v>1.2200076E8</v>
      </c>
      <c r="C49" s="9" t="str">
        <f>VLOOKUP(B49,students!$B$2:$I$197,2,0)</f>
        <v>22CT112</v>
      </c>
      <c r="D49" s="9" t="str">
        <f>VLOOKUP(B49,students!$B$2:$I$197,3,0)</f>
        <v>Phạm Bảo Minh</v>
      </c>
      <c r="E49" s="9" t="str">
        <f>VLOOKUP(B49,students!$B$2:$I$197,4,0)</f>
        <v>Thế</v>
      </c>
      <c r="F49" s="15">
        <f>VLOOKUP(B49,students!$B$2:$I$197,7,0)</f>
        <v>985078964</v>
      </c>
      <c r="G49" s="9" t="str">
        <f>if(ISNA(VLOOKUP(B49,F_DangKiGiaoVien!$C$2:$Q999,2,0)),"Chưa ĐK","Đã ĐK")</f>
        <v>Đã ĐK</v>
      </c>
      <c r="H49" s="9" t="str">
        <f>if(ISNA(VLOOKUP(B49,F_DangKiGiaoVien!$C$2:$Q999,5,0)),"",VLOOKUP(B49,F_DangKiGiaoVien!$C$2:$Q999,5,0))</f>
        <v>Đặc cách tốt nghiệp</v>
      </c>
      <c r="I49" s="9" t="str">
        <f>if(ISNA(VLOOKUP(B49,F_DangKiGiaoVien!$C$2:$Q999,2,0)),"",VLOOKUP(B49,F_DangKiGiaoVien!$C$2:$Q999,6,0))</f>
        <v>Đặc cách tốt nghiệp</v>
      </c>
      <c r="J49" s="9"/>
      <c r="K49" s="9" t="str">
        <f>if(ISNA(VLOOKUP(B49,F_DangKiGiaoVien!$C$2:$Q999,2,0)),"",VLOOKUP(B49,F_DangKiGiaoVien!$C$2:$Q999,8,0))</f>
        <v/>
      </c>
    </row>
    <row r="50">
      <c r="A50" s="9">
        <f t="shared" si="1"/>
        <v>49</v>
      </c>
      <c r="B50" s="1">
        <v>1.220008E8</v>
      </c>
      <c r="C50" s="9" t="str">
        <f>VLOOKUP(B50,students!$B$2:$I$197,2,0)</f>
        <v>22CT112</v>
      </c>
      <c r="D50" s="9" t="str">
        <f>VLOOKUP(B50,students!$B$2:$I$197,3,0)</f>
        <v>Nguyễn Tấn</v>
      </c>
      <c r="E50" s="9" t="str">
        <f>VLOOKUP(B50,students!$B$2:$I$197,4,0)</f>
        <v>Tài</v>
      </c>
      <c r="F50" s="15">
        <f>VLOOKUP(B50,students!$B$2:$I$197,7,0)</f>
        <v>787696539</v>
      </c>
      <c r="G50" s="9" t="str">
        <f>if(ISNA(VLOOKUP(B50,F_DangKiGiaoVien!$C$2:$Q999,2,0)),"Chưa ĐK","Đã ĐK")</f>
        <v>Đã ĐK</v>
      </c>
      <c r="H50" s="9" t="str">
        <f>if(ISNA(VLOOKUP(B50,F_DangKiGiaoVien!$C$2:$Q999,5,0)),"",VLOOKUP(B50,F_DangKiGiaoVien!$C$2:$Q999,5,0))</f>
        <v>Thực hiện đồ án tốt nghiệp</v>
      </c>
      <c r="I50" s="9" t="str">
        <f>if(ISNA(VLOOKUP(B50,F_DangKiGiaoVien!$C$2:$Q999,2,0)),"",VLOOKUP(B50,F_DangKiGiaoVien!$C$2:$Q999,6,0))</f>
        <v>Nguyễn Minh Phúc</v>
      </c>
      <c r="J50" s="1" t="s">
        <v>392</v>
      </c>
      <c r="K50" s="9" t="str">
        <f>if(ISNA(VLOOKUP(B50,F_DangKiGiaoVien!$C$2:$Q999,2,0)),"",VLOOKUP(B50,F_DangKiGiaoVien!$C$2:$Q999,8,0))</f>
        <v>Đề Xuất Bài Tập Theo Tiến Độ Học Tập Của Sinh Viên</v>
      </c>
    </row>
    <row r="51">
      <c r="A51" s="9">
        <f t="shared" si="1"/>
        <v>50</v>
      </c>
      <c r="B51" s="1">
        <v>1.22000805E8</v>
      </c>
      <c r="C51" s="9" t="str">
        <f>VLOOKUP(B51,students!$B$2:$I$197,2,0)</f>
        <v>22CT112</v>
      </c>
      <c r="D51" s="9" t="str">
        <f>VLOOKUP(B51,students!$B$2:$I$197,3,0)</f>
        <v>Nguyễn Hồng</v>
      </c>
      <c r="E51" s="9" t="str">
        <f>VLOOKUP(B51,students!$B$2:$I$197,4,0)</f>
        <v>Phong</v>
      </c>
      <c r="F51" s="15">
        <f>VLOOKUP(B51,students!$B$2:$I$197,7,0)</f>
        <v>327895817</v>
      </c>
      <c r="G51" s="9" t="str">
        <f>if(ISNA(VLOOKUP(B51,F_DangKiGiaoVien!$C$2:$Q999,2,0)),"Chưa ĐK","Đã ĐK")</f>
        <v>Đã ĐK</v>
      </c>
      <c r="H51" s="9" t="str">
        <f>if(ISNA(VLOOKUP(B51,F_DangKiGiaoVien!$C$2:$Q999,5,0)),"",VLOOKUP(B51,F_DangKiGiaoVien!$C$2:$Q999,5,0))</f>
        <v>Thực hiện đồ án tốt nghiệp</v>
      </c>
      <c r="I51" s="9" t="str">
        <f>if(ISNA(VLOOKUP(B51,F_DangKiGiaoVien!$C$2:$Q999,2,0)),"",VLOOKUP(B51,F_DangKiGiaoVien!$C$2:$Q999,6,0))</f>
        <v>Nguyễn Minh Phúc</v>
      </c>
      <c r="J51" s="1" t="s">
        <v>392</v>
      </c>
      <c r="K51" s="9" t="str">
        <f>if(ISNA(VLOOKUP(B51,F_DangKiGiaoVien!$C$2:$Q999,2,0)),"",VLOOKUP(B51,F_DangKiGiaoVien!$C$2:$Q999,8,0))</f>
        <v>Xây Dựng Module Thiết Kế Lộ Trình Học Tập Thích Ứng Theo Năng Lực (Adaptive Learning Path)</v>
      </c>
    </row>
    <row r="52">
      <c r="A52" s="9">
        <f t="shared" si="1"/>
        <v>51</v>
      </c>
      <c r="B52" s="1">
        <v>1.22000843E8</v>
      </c>
      <c r="C52" s="9" t="str">
        <f>VLOOKUP(B52,students!$B$2:$I$197,2,0)</f>
        <v>22CT112</v>
      </c>
      <c r="D52" s="9" t="str">
        <f>VLOOKUP(B52,students!$B$2:$I$197,3,0)</f>
        <v>Nguyễn Huy</v>
      </c>
      <c r="E52" s="9" t="str">
        <f>VLOOKUP(B52,students!$B$2:$I$197,4,0)</f>
        <v>Quang</v>
      </c>
      <c r="F52" s="15">
        <f>VLOOKUP(B52,students!$B$2:$I$197,7,0)</f>
        <v>588845537</v>
      </c>
      <c r="G52" s="9" t="str">
        <f>if(ISNA(VLOOKUP(B52,F_DangKiGiaoVien!$C$2:$Q999,2,0)),"Chưa ĐK","Đã ĐK")</f>
        <v>Đã ĐK</v>
      </c>
      <c r="H52" s="9" t="str">
        <f>if(ISNA(VLOOKUP(B52,F_DangKiGiaoVien!$C$2:$Q999,5,0)),"",VLOOKUP(B52,F_DangKiGiaoVien!$C$2:$Q999,5,0))</f>
        <v>Thực hiện đồ án tốt nghiệp</v>
      </c>
      <c r="I52" s="9" t="str">
        <f>if(ISNA(VLOOKUP(B52,F_DangKiGiaoVien!$C$2:$Q999,2,0)),"",VLOOKUP(B52,F_DangKiGiaoVien!$C$2:$Q999,6,0))</f>
        <v>Nguyễn Minh Phúc</v>
      </c>
      <c r="J52" s="1" t="s">
        <v>392</v>
      </c>
      <c r="K52" s="9" t="str">
        <f>if(ISNA(VLOOKUP(B52,F_DangKiGiaoVien!$C$2:$Q999,2,0)),"",VLOOKUP(B52,F_DangKiGiaoVien!$C$2:$Q999,8,0))</f>
        <v>XÂY DỰNG DASHBOARD CÁ NHÂN HÓA CHO SINH VIÊN TRÊN HỆ THỐNG QUẢN LÝ HỌC TẬP (LMS)</v>
      </c>
    </row>
    <row r="53">
      <c r="A53" s="9">
        <f t="shared" si="1"/>
        <v>52</v>
      </c>
      <c r="B53" s="1">
        <v>1.22000886E8</v>
      </c>
      <c r="C53" s="9" t="str">
        <f>VLOOKUP(B53,students!$B$2:$I$197,2,0)</f>
        <v>22CT112</v>
      </c>
      <c r="D53" s="9" t="str">
        <f>VLOOKUP(B53,students!$B$2:$I$197,3,0)</f>
        <v>Chu Ngọc</v>
      </c>
      <c r="E53" s="9" t="str">
        <f>VLOOKUP(B53,students!$B$2:$I$197,4,0)</f>
        <v>Sơn</v>
      </c>
      <c r="F53" s="15">
        <f>VLOOKUP(B53,students!$B$2:$I$197,7,0)</f>
        <v>387950281</v>
      </c>
      <c r="G53" s="9" t="str">
        <f>if(ISNA(VLOOKUP(B53,F_DangKiGiaoVien!$C$2:$Q999,2,0)),"Chưa ĐK","Đã ĐK")</f>
        <v>Đã ĐK</v>
      </c>
      <c r="H53" s="9" t="str">
        <f>if(ISNA(VLOOKUP(B53,F_DangKiGiaoVien!$C$2:$Q999,5,0)),"",VLOOKUP(B53,F_DangKiGiaoVien!$C$2:$Q999,5,0))</f>
        <v>Thực hiện đồ án tốt nghiệp</v>
      </c>
      <c r="I53" s="9" t="str">
        <f>if(ISNA(VLOOKUP(B53,F_DangKiGiaoVien!$C$2:$Q999,2,0)),"",VLOOKUP(B53,F_DangKiGiaoVien!$C$2:$Q999,6,0))</f>
        <v>Hồ Ngọc Hoàng Long</v>
      </c>
      <c r="J53" s="1" t="s">
        <v>392</v>
      </c>
      <c r="K53" s="9" t="str">
        <f>if(ISNA(VLOOKUP(B53,F_DangKiGiaoVien!$C$2:$Q999,2,0)),"",VLOOKUP(B53,F_DangKiGiaoVien!$C$2:$Q999,8,0))</f>
        <v>Ứng Dụng AI Học Ngoại Ngữ</v>
      </c>
    </row>
    <row r="54">
      <c r="A54" s="9">
        <f t="shared" si="1"/>
        <v>53</v>
      </c>
      <c r="B54" s="1">
        <v>1.22000917E8</v>
      </c>
      <c r="C54" s="9" t="str">
        <f>VLOOKUP(B54,students!$B$2:$I$197,2,0)</f>
        <v>22CT112</v>
      </c>
      <c r="D54" s="9" t="str">
        <f>VLOOKUP(B54,students!$B$2:$I$197,3,0)</f>
        <v>Hoàng Thanh</v>
      </c>
      <c r="E54" s="9" t="str">
        <f>VLOOKUP(B54,students!$B$2:$I$197,4,0)</f>
        <v>Nhật</v>
      </c>
      <c r="F54" s="15">
        <f>VLOOKUP(B54,students!$B$2:$I$197,7,0)</f>
        <v>387011726</v>
      </c>
      <c r="G54" s="9" t="str">
        <f>if(ISNA(VLOOKUP(B54,F_DangKiGiaoVien!$C$2:$Q999,2,0)),"Chưa ĐK","Đã ĐK")</f>
        <v>Đã ĐK</v>
      </c>
      <c r="H54" s="9" t="str">
        <f>if(ISNA(VLOOKUP(B54,F_DangKiGiaoVien!$C$2:$Q999,5,0)),"",VLOOKUP(B54,F_DangKiGiaoVien!$C$2:$Q999,5,0))</f>
        <v>Đặc cách tốt nghiệp</v>
      </c>
      <c r="I54" s="9" t="str">
        <f>if(ISNA(VLOOKUP(B54,F_DangKiGiaoVien!$C$2:$Q999,2,0)),"",VLOOKUP(B54,F_DangKiGiaoVien!$C$2:$Q999,6,0))</f>
        <v/>
      </c>
      <c r="J54" s="9"/>
      <c r="K54" s="9" t="str">
        <f>if(ISNA(VLOOKUP(B54,F_DangKiGiaoVien!$C$2:$Q999,2,0)),"",VLOOKUP(B54,F_DangKiGiaoVien!$C$2:$Q999,8,0))</f>
        <v/>
      </c>
    </row>
    <row r="55">
      <c r="A55" s="9">
        <f t="shared" si="1"/>
        <v>54</v>
      </c>
      <c r="B55" s="1">
        <v>1.22001021E8</v>
      </c>
      <c r="C55" s="9" t="str">
        <f>VLOOKUP(B55,students!$B$2:$I$197,2,0)</f>
        <v>22CT112</v>
      </c>
      <c r="D55" s="9" t="str">
        <f>VLOOKUP(B55,students!$B$2:$I$197,3,0)</f>
        <v>Đinh Quang Tuấn</v>
      </c>
      <c r="E55" s="9" t="str">
        <f>VLOOKUP(B55,students!$B$2:$I$197,4,0)</f>
        <v>Anh</v>
      </c>
      <c r="F55" s="15">
        <f>VLOOKUP(B55,students!$B$2:$I$197,7,0)</f>
        <v>353560594</v>
      </c>
      <c r="G55" s="9" t="str">
        <f>if(ISNA(VLOOKUP(B55,F_DangKiGiaoVien!$C$2:$Q999,2,0)),"Chưa ĐK","Đã ĐK")</f>
        <v>Đã ĐK</v>
      </c>
      <c r="H55" s="9" t="str">
        <f>if(ISNA(VLOOKUP(B55,F_DangKiGiaoVien!$C$2:$Q999,5,0)),"",VLOOKUP(B55,F_DangKiGiaoVien!$C$2:$Q999,5,0))</f>
        <v>Thực hiện đồ án tốt nghiệp</v>
      </c>
      <c r="I55" s="9" t="str">
        <f>if(ISNA(VLOOKUP(B55,F_DangKiGiaoVien!$C$2:$Q999,2,0)),"",VLOOKUP(B55,F_DangKiGiaoVien!$C$2:$Q999,6,0))</f>
        <v>Nguyễn Minh Phúc</v>
      </c>
      <c r="J55" s="1" t="s">
        <v>392</v>
      </c>
      <c r="K55" s="9" t="str">
        <f>if(ISNA(VLOOKUP(B55,F_DangKiGiaoVien!$C$2:$Q999,2,0)),"",VLOOKUP(B55,F_DangKiGiaoVien!$C$2:$Q999,8,0))</f>
        <v>Xây dựng module tìm bạn học dựa theo năng lực và sở thích</v>
      </c>
    </row>
    <row r="56">
      <c r="A56" s="9">
        <f t="shared" si="1"/>
        <v>55</v>
      </c>
      <c r="B56" s="1">
        <v>1.22001025E8</v>
      </c>
      <c r="C56" s="9" t="str">
        <f>VLOOKUP(B56,students!$B$2:$I$197,2,0)</f>
        <v>22CT112</v>
      </c>
      <c r="D56" s="9" t="str">
        <f>VLOOKUP(B56,students!$B$2:$I$197,3,0)</f>
        <v>Trần Đình</v>
      </c>
      <c r="E56" s="9" t="str">
        <f>VLOOKUP(B56,students!$B$2:$I$197,4,0)</f>
        <v>Minh</v>
      </c>
      <c r="F56" s="15">
        <f>VLOOKUP(B56,students!$B$2:$I$197,7,0)</f>
        <v>352085391</v>
      </c>
      <c r="G56" s="9" t="str">
        <f>if(ISNA(VLOOKUP(B56,F_DangKiGiaoVien!$C$2:$Q999,2,0)),"Chưa ĐK","Đã ĐK")</f>
        <v>Đã ĐK</v>
      </c>
      <c r="H56" s="9" t="str">
        <f>if(ISNA(VLOOKUP(B56,F_DangKiGiaoVien!$C$2:$Q999,5,0)),"",VLOOKUP(B56,F_DangKiGiaoVien!$C$2:$Q999,5,0))</f>
        <v>Thực hiện đồ án tốt nghiệp</v>
      </c>
      <c r="I56" s="9" t="str">
        <f>if(ISNA(VLOOKUP(B56,F_DangKiGiaoVien!$C$2:$Q999,2,0)),"",VLOOKUP(B56,F_DangKiGiaoVien!$C$2:$Q999,6,0))</f>
        <v>Nguyễn Minh Phúc</v>
      </c>
      <c r="J56" s="1" t="s">
        <v>392</v>
      </c>
      <c r="K56" s="9" t="str">
        <f>if(ISNA(VLOOKUP(B56,F_DangKiGiaoVien!$C$2:$Q999,2,0)),"",VLOOKUP(B56,F_DangKiGiaoVien!$C$2:$Q999,8,0))</f>
        <v>Đề xuất bài tập theo tiến độ sinh viên </v>
      </c>
    </row>
    <row r="57">
      <c r="A57" s="9">
        <f t="shared" si="1"/>
        <v>56</v>
      </c>
      <c r="B57" s="1">
        <v>1.22001067E8</v>
      </c>
      <c r="C57" s="9" t="str">
        <f>VLOOKUP(B57,students!$B$2:$I$197,2,0)</f>
        <v>22CT112</v>
      </c>
      <c r="D57" s="9" t="str">
        <f>VLOOKUP(B57,students!$B$2:$I$197,3,0)</f>
        <v>Võ Tuấn</v>
      </c>
      <c r="E57" s="9" t="str">
        <f>VLOOKUP(B57,students!$B$2:$I$197,4,0)</f>
        <v>Sĩ</v>
      </c>
      <c r="F57" s="15">
        <f>VLOOKUP(B57,students!$B$2:$I$197,7,0)</f>
        <v>329135161</v>
      </c>
      <c r="G57" s="9" t="str">
        <f>if(ISNA(VLOOKUP(B57,F_DangKiGiaoVien!$C$2:$Q999,2,0)),"Chưa ĐK","Đã ĐK")</f>
        <v>Đã ĐK</v>
      </c>
      <c r="H57" s="9" t="str">
        <f>if(ISNA(VLOOKUP(B57,F_DangKiGiaoVien!$C$2:$Q999,5,0)),"",VLOOKUP(B57,F_DangKiGiaoVien!$C$2:$Q999,5,0))</f>
        <v>Đặc cách tốt nghiệp</v>
      </c>
      <c r="I57" s="9" t="str">
        <f>if(ISNA(VLOOKUP(B57,F_DangKiGiaoVien!$C$2:$Q999,2,0)),"",VLOOKUP(B57,F_DangKiGiaoVien!$C$2:$Q999,6,0))</f>
        <v>Đặc cách tốt nghiệp</v>
      </c>
      <c r="J57" s="9"/>
      <c r="K57" s="9" t="str">
        <f>if(ISNA(VLOOKUP(B57,F_DangKiGiaoVien!$C$2:$Q999,2,0)),"",VLOOKUP(B57,F_DangKiGiaoVien!$C$2:$Q999,8,0))</f>
        <v/>
      </c>
    </row>
    <row r="58">
      <c r="A58" s="9">
        <f t="shared" si="1"/>
        <v>57</v>
      </c>
      <c r="B58" s="1">
        <v>1.22001144E8</v>
      </c>
      <c r="C58" s="9" t="str">
        <f>VLOOKUP(B58,students!$B$2:$I$197,2,0)</f>
        <v>22CT112</v>
      </c>
      <c r="D58" s="9" t="str">
        <f>VLOOKUP(B58,students!$B$2:$I$197,3,0)</f>
        <v>Lê Hoàng</v>
      </c>
      <c r="E58" s="9" t="str">
        <f>VLOOKUP(B58,students!$B$2:$I$197,4,0)</f>
        <v>Nguyên</v>
      </c>
      <c r="F58" s="15">
        <f>VLOOKUP(B58,students!$B$2:$I$197,7,0)</f>
        <v>345703317</v>
      </c>
      <c r="G58" s="9" t="str">
        <f>if(ISNA(VLOOKUP(B58,F_DangKiGiaoVien!$C$2:$Q999,2,0)),"Chưa ĐK","Đã ĐK")</f>
        <v>Đã ĐK</v>
      </c>
      <c r="H58" s="9" t="str">
        <f>if(ISNA(VLOOKUP(B58,F_DangKiGiaoVien!$C$2:$Q999,5,0)),"",VLOOKUP(B58,F_DangKiGiaoVien!$C$2:$Q999,5,0))</f>
        <v>Thực hiện đồ án tốt nghiệp</v>
      </c>
      <c r="I58" s="9" t="str">
        <f>if(ISNA(VLOOKUP(B58,F_DangKiGiaoVien!$C$2:$Q999,2,0)),"",VLOOKUP(B58,F_DangKiGiaoVien!$C$2:$Q999,6,0))</f>
        <v>Nguyễn Văn Phi</v>
      </c>
      <c r="J58" s="1" t="s">
        <v>392</v>
      </c>
      <c r="K58" s="9" t="str">
        <f>if(ISNA(VLOOKUP(B58,F_DangKiGiaoVien!$C$2:$Q999,2,0)),"",VLOOKUP(B58,F_DangKiGiaoVien!$C$2:$Q999,8,0))</f>
        <v>Xây dựng mô hình ứng dụng ảo hoá cho doanh nghiệp</v>
      </c>
    </row>
    <row r="59">
      <c r="A59" s="9">
        <f t="shared" si="1"/>
        <v>58</v>
      </c>
      <c r="B59" s="1">
        <v>1.22001208E8</v>
      </c>
      <c r="C59" s="9" t="str">
        <f>VLOOKUP(B59,students!$B$2:$I$197,2,0)</f>
        <v>22CT112</v>
      </c>
      <c r="D59" s="9" t="str">
        <f>VLOOKUP(B59,students!$B$2:$I$197,3,0)</f>
        <v>Lê Trần</v>
      </c>
      <c r="E59" s="9" t="str">
        <f>VLOOKUP(B59,students!$B$2:$I$197,4,0)</f>
        <v>Nam</v>
      </c>
      <c r="F59" s="15">
        <f>VLOOKUP(B59,students!$B$2:$I$197,7,0)</f>
        <v>395834760</v>
      </c>
      <c r="G59" s="9" t="str">
        <f>if(ISNA(VLOOKUP(B59,F_DangKiGiaoVien!$C$2:$Q999,2,0)),"Chưa ĐK","Đã ĐK")</f>
        <v>Đã ĐK</v>
      </c>
      <c r="H59" s="9" t="str">
        <f>if(ISNA(VLOOKUP(B59,F_DangKiGiaoVien!$C$2:$Q999,5,0)),"",VLOOKUP(B59,F_DangKiGiaoVien!$C$2:$Q999,5,0))</f>
        <v>Thực hiện đồ án tốt nghiệp</v>
      </c>
      <c r="I59" s="9" t="str">
        <f>if(ISNA(VLOOKUP(B59,F_DangKiGiaoVien!$C$2:$Q999,2,0)),"",VLOOKUP(B59,F_DangKiGiaoVien!$C$2:$Q999,6,0))</f>
        <v>Nguyễn Minh Phúc</v>
      </c>
      <c r="J59" s="1" t="s">
        <v>392</v>
      </c>
      <c r="K59" s="9" t="str">
        <f>if(ISNA(VLOOKUP(B59,F_DangKiGiaoVien!$C$2:$Q999,2,0)),"",VLOOKUP(B59,F_DangKiGiaoVien!$C$2:$Q999,8,0))</f>
        <v>Xây dựng mô hình phân tích và đánh giá kỹ năng mềm của sinh viên dựa trên dữ liệu học tập và hoạt động nhóm</v>
      </c>
    </row>
    <row r="60">
      <c r="A60" s="9">
        <f t="shared" si="1"/>
        <v>59</v>
      </c>
      <c r="B60" s="1">
        <v>1.22001209E8</v>
      </c>
      <c r="C60" s="9" t="str">
        <f>VLOOKUP(B60,students!$B$2:$I$197,2,0)</f>
        <v>22CT112</v>
      </c>
      <c r="D60" s="9" t="str">
        <f>VLOOKUP(B60,students!$B$2:$I$197,3,0)</f>
        <v>Lê Quốc</v>
      </c>
      <c r="E60" s="9" t="str">
        <f>VLOOKUP(B60,students!$B$2:$I$197,4,0)</f>
        <v>Anh</v>
      </c>
      <c r="F60" s="15">
        <f>VLOOKUP(B60,students!$B$2:$I$197,7,0)</f>
        <v>387204605</v>
      </c>
      <c r="G60" s="9" t="str">
        <f>if(ISNA(VLOOKUP(B60,F_DangKiGiaoVien!$C$2:$Q999,2,0)),"Chưa ĐK","Đã ĐK")</f>
        <v>Đã ĐK</v>
      </c>
      <c r="H60" s="9" t="str">
        <f>if(ISNA(VLOOKUP(B60,F_DangKiGiaoVien!$C$2:$Q999,5,0)),"",VLOOKUP(B60,F_DangKiGiaoVien!$C$2:$Q999,5,0))</f>
        <v>Thực hiện đồ án tốt nghiệp</v>
      </c>
      <c r="I60" s="9" t="str">
        <f>if(ISNA(VLOOKUP(B60,F_DangKiGiaoVien!$C$2:$Q999,2,0)),"",VLOOKUP(B60,F_DangKiGiaoVien!$C$2:$Q999,6,0))</f>
        <v>Nguyễn Minh Phúc</v>
      </c>
      <c r="J60" s="1" t="s">
        <v>392</v>
      </c>
      <c r="K60" s="9" t="str">
        <f>if(ISNA(VLOOKUP(B60,F_DangKiGiaoVien!$C$2:$Q999,2,0)),"",VLOOKUP(B60,F_DangKiGiaoVien!$C$2:$Q999,8,0))</f>
        <v>Xây dựng module phân loại trình độ sinh viên dựa trên điểm số và hành vi học tập</v>
      </c>
    </row>
    <row r="61">
      <c r="A61" s="9">
        <f t="shared" si="1"/>
        <v>60</v>
      </c>
      <c r="B61" s="1">
        <v>1.2200121E8</v>
      </c>
      <c r="C61" s="9" t="str">
        <f>VLOOKUP(B61,students!$B$2:$I$197,2,0)</f>
        <v>22CT112</v>
      </c>
      <c r="D61" s="9" t="str">
        <f>VLOOKUP(B61,students!$B$2:$I$197,3,0)</f>
        <v>Lê Quốc</v>
      </c>
      <c r="E61" s="9" t="str">
        <f>VLOOKUP(B61,students!$B$2:$I$197,4,0)</f>
        <v>Bảo</v>
      </c>
      <c r="F61" s="15">
        <f>VLOOKUP(B61,students!$B$2:$I$197,7,0)</f>
        <v>866856490</v>
      </c>
      <c r="G61" s="9" t="str">
        <f>if(ISNA(VLOOKUP(B61,F_DangKiGiaoVien!$C$2:$Q999,2,0)),"Chưa ĐK","Đã ĐK")</f>
        <v>Đã ĐK</v>
      </c>
      <c r="H61" s="9" t="str">
        <f>if(ISNA(VLOOKUP(B61,F_DangKiGiaoVien!$C$2:$Q999,5,0)),"",VLOOKUP(B61,F_DangKiGiaoVien!$C$2:$Q999,5,0))</f>
        <v>Thực hiện đồ án tốt nghiệp</v>
      </c>
      <c r="I61" s="9" t="str">
        <f>if(ISNA(VLOOKUP(B61,F_DangKiGiaoVien!$C$2:$Q999,2,0)),"",VLOOKUP(B61,F_DangKiGiaoVien!$C$2:$Q999,6,0))</f>
        <v>Nguyễn Minh Phúc</v>
      </c>
      <c r="J61" s="1" t="s">
        <v>392</v>
      </c>
      <c r="K61" s="9" t="str">
        <f>if(ISNA(VLOOKUP(B61,F_DangKiGiaoVien!$C$2:$Q999,2,0)),"",VLOOKUP(B61,F_DangKiGiaoVien!$C$2:$Q999,8,0))</f>
        <v>Xây dựng module phân loại trình độ sinh viên dựa trên điểm số và hành vi học tập</v>
      </c>
    </row>
    <row r="62">
      <c r="A62" s="9">
        <f t="shared" si="1"/>
        <v>61</v>
      </c>
      <c r="B62" s="1">
        <v>1.22001257E8</v>
      </c>
      <c r="C62" s="9" t="str">
        <f>VLOOKUP(B62,students!$B$2:$I$197,2,0)</f>
        <v>22CT112</v>
      </c>
      <c r="D62" s="9" t="str">
        <f>VLOOKUP(B62,students!$B$2:$I$197,3,0)</f>
        <v>Nguyễn Việt</v>
      </c>
      <c r="E62" s="9" t="str">
        <f>VLOOKUP(B62,students!$B$2:$I$197,4,0)</f>
        <v>Hưng</v>
      </c>
      <c r="F62" s="15">
        <f>VLOOKUP(B62,students!$B$2:$I$197,7,0)</f>
        <v>339983840</v>
      </c>
      <c r="G62" s="9" t="str">
        <f>if(ISNA(VLOOKUP(B62,F_DangKiGiaoVien!$C$2:$Q999,2,0)),"Chưa ĐK","Đã ĐK")</f>
        <v>Đã ĐK</v>
      </c>
      <c r="H62" s="9" t="str">
        <f>if(ISNA(VLOOKUP(B62,F_DangKiGiaoVien!$C$2:$Q999,5,0)),"",VLOOKUP(B62,F_DangKiGiaoVien!$C$2:$Q999,5,0))</f>
        <v>Thực hiện đồ án tốt nghiệp</v>
      </c>
      <c r="I62" s="9" t="str">
        <f>if(ISNA(VLOOKUP(B62,F_DangKiGiaoVien!$C$2:$Q999,2,0)),"",VLOOKUP(B62,F_DangKiGiaoVien!$C$2:$Q999,6,0))</f>
        <v>Nguyễn Minh Phúc</v>
      </c>
      <c r="J62" s="1" t="s">
        <v>392</v>
      </c>
      <c r="K62" s="9" t="str">
        <f>if(ISNA(VLOOKUP(B62,F_DangKiGiaoVien!$C$2:$Q999,2,0)),"",VLOOKUP(B62,F_DangKiGiaoVien!$C$2:$Q999,8,0))</f>
        <v>Xây dựng Dashboard quản lý tiến độ học lập trình cho Quản lý ngành</v>
      </c>
    </row>
    <row r="63">
      <c r="A63" s="9">
        <f t="shared" si="1"/>
        <v>62</v>
      </c>
      <c r="B63" s="1">
        <v>1.22001277E8</v>
      </c>
      <c r="C63" s="9" t="str">
        <f>VLOOKUP(B63,students!$B$2:$I$197,2,0)</f>
        <v>22CT112</v>
      </c>
      <c r="D63" s="9" t="str">
        <f>VLOOKUP(B63,students!$B$2:$I$197,3,0)</f>
        <v>Hoàng Gia</v>
      </c>
      <c r="E63" s="9" t="str">
        <f>VLOOKUP(B63,students!$B$2:$I$197,4,0)</f>
        <v>Huy</v>
      </c>
      <c r="F63" s="15">
        <f>VLOOKUP(B63,students!$B$2:$I$197,7,0)</f>
        <v>971042524</v>
      </c>
      <c r="G63" s="9" t="str">
        <f>if(ISNA(VLOOKUP(B63,F_DangKiGiaoVien!$C$2:$Q999,2,0)),"Chưa ĐK","Đã ĐK")</f>
        <v>Đã ĐK</v>
      </c>
      <c r="H63" s="9" t="str">
        <f>if(ISNA(VLOOKUP(B63,F_DangKiGiaoVien!$C$2:$Q999,5,0)),"",VLOOKUP(B63,F_DangKiGiaoVien!$C$2:$Q999,5,0))</f>
        <v>Đặc cách tốt nghiệp</v>
      </c>
      <c r="I63" s="9" t="str">
        <f>if(ISNA(VLOOKUP(B63,F_DangKiGiaoVien!$C$2:$Q999,2,0)),"",VLOOKUP(B63,F_DangKiGiaoVien!$C$2:$Q999,6,0))</f>
        <v>Đặc cách tốt nghiệp</v>
      </c>
      <c r="J63" s="9"/>
      <c r="K63" s="9" t="str">
        <f>if(ISNA(VLOOKUP(B63,F_DangKiGiaoVien!$C$2:$Q999,2,0)),"",VLOOKUP(B63,F_DangKiGiaoVien!$C$2:$Q999,8,0))</f>
        <v/>
      </c>
    </row>
    <row r="64">
      <c r="A64" s="9">
        <f t="shared" si="1"/>
        <v>63</v>
      </c>
      <c r="B64" s="1">
        <v>1.2200128E8</v>
      </c>
      <c r="C64" s="9" t="str">
        <f>VLOOKUP(B64,students!$B$2:$I$197,2,0)</f>
        <v>22CT112</v>
      </c>
      <c r="D64" s="9" t="str">
        <f>VLOOKUP(B64,students!$B$2:$I$197,3,0)</f>
        <v>Nguyễn Đình</v>
      </c>
      <c r="E64" s="9" t="str">
        <f>VLOOKUP(B64,students!$B$2:$I$197,4,0)</f>
        <v>Phát</v>
      </c>
      <c r="F64" s="15">
        <f>VLOOKUP(B64,students!$B$2:$I$197,7,0)</f>
        <v>988726204</v>
      </c>
      <c r="G64" s="9" t="str">
        <f>if(ISNA(VLOOKUP(B64,F_DangKiGiaoVien!$C$2:$Q999,2,0)),"Chưa ĐK","Đã ĐK")</f>
        <v>Đã ĐK</v>
      </c>
      <c r="H64" s="9" t="str">
        <f>if(ISNA(VLOOKUP(B64,F_DangKiGiaoVien!$C$2:$Q999,5,0)),"",VLOOKUP(B64,F_DangKiGiaoVien!$C$2:$Q999,5,0))</f>
        <v>Thực hiện đồ án tốt nghiệp</v>
      </c>
      <c r="I64" s="9" t="str">
        <f>if(ISNA(VLOOKUP(B64,F_DangKiGiaoVien!$C$2:$Q999,2,0)),"",VLOOKUP(B64,F_DangKiGiaoVien!$C$2:$Q999,6,0))</f>
        <v>Phan Thị Hường</v>
      </c>
      <c r="J64" s="1" t="s">
        <v>392</v>
      </c>
      <c r="K64" s="9" t="str">
        <f>if(ISNA(VLOOKUP(B64,F_DangKiGiaoVien!$C$2:$Q999,2,0)),"",VLOOKUP(B64,F_DangKiGiaoVien!$C$2:$Q999,8,0))</f>
        <v>Agent tư vấn chế độ ăn uống cho bệnh nhân cường giáp</v>
      </c>
    </row>
    <row r="65">
      <c r="A65" s="9">
        <f t="shared" si="1"/>
        <v>64</v>
      </c>
      <c r="B65" s="1">
        <v>1.22001316E8</v>
      </c>
      <c r="C65" s="9" t="str">
        <f>VLOOKUP(B65,students!$B$2:$I$197,2,0)</f>
        <v>22CT112</v>
      </c>
      <c r="D65" s="9" t="str">
        <f>VLOOKUP(B65,students!$B$2:$I$197,3,0)</f>
        <v>Nguyễn Anh</v>
      </c>
      <c r="E65" s="9" t="str">
        <f>VLOOKUP(B65,students!$B$2:$I$197,4,0)</f>
        <v>Luân</v>
      </c>
      <c r="F65" s="15">
        <f>VLOOKUP(B65,students!$B$2:$I$197,7,0)</f>
        <v>397493351</v>
      </c>
      <c r="G65" s="9" t="str">
        <f>if(ISNA(VLOOKUP(B65,F_DangKiGiaoVien!$C$2:$Q999,2,0)),"Chưa ĐK","Đã ĐK")</f>
        <v>Đã ĐK</v>
      </c>
      <c r="H65" s="9" t="str">
        <f>if(ISNA(VLOOKUP(B65,F_DangKiGiaoVien!$C$2:$Q999,5,0)),"",VLOOKUP(B65,F_DangKiGiaoVien!$C$2:$Q999,5,0))</f>
        <v>Thực hiện đồ án tốt nghiệp</v>
      </c>
      <c r="I65" s="9" t="str">
        <f>if(ISNA(VLOOKUP(B65,F_DangKiGiaoVien!$C$2:$Q999,2,0)),"",VLOOKUP(B65,F_DangKiGiaoVien!$C$2:$Q999,6,0))</f>
        <v>Nguyễn Minh Phúc</v>
      </c>
      <c r="J65" s="1" t="s">
        <v>392</v>
      </c>
      <c r="K65" s="9" t="str">
        <f>if(ISNA(VLOOKUP(B65,F_DangKiGiaoVien!$C$2:$Q999,2,0)),"",VLOOKUP(B65,F_DangKiGiaoVien!$C$2:$Q999,8,0))</f>
        <v>Xây dựng mô hình phân tích và đánh giá kỹ năng mềm của sinh viên dựa trên dữ liệu học tập và hoạt động nhóm</v>
      </c>
    </row>
    <row r="66">
      <c r="A66" s="9">
        <f t="shared" si="1"/>
        <v>65</v>
      </c>
      <c r="B66" s="1">
        <v>1.22001605E8</v>
      </c>
      <c r="C66" s="9" t="str">
        <f>VLOOKUP(B66,students!$B$2:$I$197,2,0)</f>
        <v>22CT112</v>
      </c>
      <c r="D66" s="9" t="str">
        <f>VLOOKUP(B66,students!$B$2:$I$197,3,0)</f>
        <v>Nguyễn Võ Quốc</v>
      </c>
      <c r="E66" s="9" t="str">
        <f>VLOOKUP(B66,students!$B$2:$I$197,4,0)</f>
        <v>Bảo</v>
      </c>
      <c r="F66" s="15">
        <f>VLOOKUP(B66,students!$B$2:$I$197,7,0)</f>
        <v>855863968</v>
      </c>
      <c r="G66" s="9" t="str">
        <f>if(ISNA(VLOOKUP(B66,F_DangKiGiaoVien!$C$2:$Q999,2,0)),"Chưa ĐK","Đã ĐK")</f>
        <v>Đã ĐK</v>
      </c>
      <c r="H66" s="9" t="str">
        <f>if(ISNA(VLOOKUP(B66,F_DangKiGiaoVien!$C$2:$Q999,5,0)),"",VLOOKUP(B66,F_DangKiGiaoVien!$C$2:$Q999,5,0))</f>
        <v>Thực hiện đồ án tốt nghiệp</v>
      </c>
      <c r="I66" s="9" t="str">
        <f>if(ISNA(VLOOKUP(B66,F_DangKiGiaoVien!$C$2:$Q999,2,0)),"",VLOOKUP(B66,F_DangKiGiaoVien!$C$2:$Q999,6,0))</f>
        <v>Nguyễn Minh Phúc</v>
      </c>
      <c r="J66" s="1" t="s">
        <v>392</v>
      </c>
      <c r="K66" s="9" t="str">
        <f>if(ISNA(VLOOKUP(B66,F_DangKiGiaoVien!$C$2:$Q999,2,0)),"",VLOOKUP(B66,F_DangKiGiaoVien!$C$2:$Q999,8,0))</f>
        <v>XÂY DỰNG MÔ HÌNH PHÂN TÍCH MỨC ĐỘ HOÀN THÀNH VÀ GỢI Í CẤP ĐỘ HỌC TẬP TIẾP THEO CHO SINH VIÊN</v>
      </c>
    </row>
    <row r="67">
      <c r="A67" s="9">
        <f t="shared" si="1"/>
        <v>66</v>
      </c>
      <c r="B67" s="1">
        <v>1.22000042E8</v>
      </c>
      <c r="C67" s="9" t="str">
        <f>VLOOKUP(B67,students!$B$2:$I$197,2,0)</f>
        <v>22CT113</v>
      </c>
      <c r="D67" s="9" t="str">
        <f>VLOOKUP(B67,students!$B$2:$I$197,3,0)</f>
        <v>Đinh Tấn</v>
      </c>
      <c r="E67" s="9" t="str">
        <f>VLOOKUP(B67,students!$B$2:$I$197,4,0)</f>
        <v>Hùng</v>
      </c>
      <c r="F67" s="15">
        <f>VLOOKUP(B67,students!$B$2:$I$197,7,0)</f>
        <v>982828004</v>
      </c>
      <c r="G67" s="9" t="str">
        <f>if(ISNA(VLOOKUP(B67,F_DangKiGiaoVien!$C$2:$Q999,2,0)),"Chưa ĐK","Đã ĐK")</f>
        <v>Đã ĐK</v>
      </c>
      <c r="H67" s="9" t="str">
        <f>if(ISNA(VLOOKUP(B67,F_DangKiGiaoVien!$C$2:$Q999,5,0)),"",VLOOKUP(B67,F_DangKiGiaoVien!$C$2:$Q999,5,0))</f>
        <v>Thực hiện đồ án tốt nghiệp</v>
      </c>
      <c r="I67" s="9" t="str">
        <f>if(ISNA(VLOOKUP(B67,F_DangKiGiaoVien!$C$2:$Q999,2,0)),"",VLOOKUP(B67,F_DangKiGiaoVien!$C$2:$Q999,6,0))</f>
        <v>Phan Mạnh Thường</v>
      </c>
      <c r="J67" s="1" t="s">
        <v>392</v>
      </c>
      <c r="K67" s="9" t="str">
        <f>if(ISNA(VLOOKUP(B67,F_DangKiGiaoVien!$C$2:$Q999,2,0)),"",VLOOKUP(B67,F_DangKiGiaoVien!$C$2:$Q999,8,0))</f>
        <v>Rag đa phương thức cho báo cáo tài chính</v>
      </c>
    </row>
    <row r="68">
      <c r="A68" s="9">
        <f t="shared" si="1"/>
        <v>67</v>
      </c>
      <c r="B68" s="1">
        <v>1.22000053E8</v>
      </c>
      <c r="C68" s="9" t="str">
        <f>VLOOKUP(B68,students!$B$2:$I$197,2,0)</f>
        <v>22CT113</v>
      </c>
      <c r="D68" s="9" t="str">
        <f>VLOOKUP(B68,students!$B$2:$I$197,3,0)</f>
        <v>Lâm</v>
      </c>
      <c r="E68" s="9" t="str">
        <f>VLOOKUP(B68,students!$B$2:$I$197,4,0)</f>
        <v>Manh</v>
      </c>
      <c r="F68" s="15">
        <f>VLOOKUP(B68,students!$B$2:$I$197,7,0)</f>
        <v>378165438</v>
      </c>
      <c r="G68" s="9" t="str">
        <f>if(ISNA(VLOOKUP(B68,F_DangKiGiaoVien!$C$2:$Q999,2,0)),"Chưa ĐK","Đã ĐK")</f>
        <v>Đã ĐK</v>
      </c>
      <c r="H68" s="9" t="str">
        <f>if(ISNA(VLOOKUP(B68,F_DangKiGiaoVien!$C$2:$Q999,5,0)),"",VLOOKUP(B68,F_DangKiGiaoVien!$C$2:$Q999,5,0))</f>
        <v>Thực hiện đồ án tốt nghiệp</v>
      </c>
      <c r="I68" s="9" t="str">
        <f>if(ISNA(VLOOKUP(B68,F_DangKiGiaoVien!$C$2:$Q999,2,0)),"",VLOOKUP(B68,F_DangKiGiaoVien!$C$2:$Q999,6,0))</f>
        <v>Phan Mạnh Thường</v>
      </c>
      <c r="J68" s="1" t="s">
        <v>392</v>
      </c>
      <c r="K68" s="9" t="str">
        <f>if(ISNA(VLOOKUP(B68,F_DangKiGiaoVien!$C$2:$Q999,2,0)),"",VLOOKUP(B68,F_DangKiGiaoVien!$C$2:$Q999,8,0))</f>
        <v>Xây dựng ứng dụng hỗ trợ trẻ tự kỷ/chậm nói học qua hình ảnh (AAC App)</v>
      </c>
    </row>
    <row r="69">
      <c r="A69" s="9">
        <f t="shared" si="1"/>
        <v>68</v>
      </c>
      <c r="B69" s="1">
        <v>1.22000063E8</v>
      </c>
      <c r="C69" s="9" t="str">
        <f>VLOOKUP(B69,students!$B$2:$I$197,2,0)</f>
        <v>22CT113</v>
      </c>
      <c r="D69" s="9" t="str">
        <f>VLOOKUP(B69,students!$B$2:$I$197,3,0)</f>
        <v>Bùi Kim</v>
      </c>
      <c r="E69" s="9" t="str">
        <f>VLOOKUP(B69,students!$B$2:$I$197,4,0)</f>
        <v>Nhi</v>
      </c>
      <c r="F69" s="15">
        <f>VLOOKUP(B69,students!$B$2:$I$197,7,0)</f>
        <v>347597434</v>
      </c>
      <c r="G69" s="9" t="str">
        <f>if(ISNA(VLOOKUP(B69,F_DangKiGiaoVien!$C$2:$Q999,2,0)),"Chưa ĐK","Đã ĐK")</f>
        <v>Đã ĐK</v>
      </c>
      <c r="H69" s="9" t="str">
        <f>if(ISNA(VLOOKUP(B69,F_DangKiGiaoVien!$C$2:$Q999,5,0)),"",VLOOKUP(B69,F_DangKiGiaoVien!$C$2:$Q999,5,0))</f>
        <v>Đặc cách tốt nghiệp</v>
      </c>
      <c r="I69" s="9" t="str">
        <f>if(ISNA(VLOOKUP(B69,F_DangKiGiaoVien!$C$2:$Q999,2,0)),"",VLOOKUP(B69,F_DangKiGiaoVien!$C$2:$Q999,6,0))</f>
        <v/>
      </c>
      <c r="J69" s="9"/>
      <c r="K69" s="9" t="str">
        <f>if(ISNA(VLOOKUP(B69,F_DangKiGiaoVien!$C$2:$Q999,2,0)),"",VLOOKUP(B69,F_DangKiGiaoVien!$C$2:$Q999,8,0))</f>
        <v/>
      </c>
    </row>
    <row r="70">
      <c r="A70" s="9">
        <f t="shared" si="1"/>
        <v>69</v>
      </c>
      <c r="B70" s="1">
        <v>1.22000153E8</v>
      </c>
      <c r="C70" s="9" t="str">
        <f>VLOOKUP(B70,students!$B$2:$I$197,2,0)</f>
        <v>22CT113</v>
      </c>
      <c r="D70" s="9" t="str">
        <f>VLOOKUP(B70,students!$B$2:$I$197,3,0)</f>
        <v>Lê Chí</v>
      </c>
      <c r="E70" s="9" t="str">
        <f>VLOOKUP(B70,students!$B$2:$I$197,4,0)</f>
        <v>Tường</v>
      </c>
      <c r="F70" s="15">
        <f>VLOOKUP(B70,students!$B$2:$I$197,7,0)</f>
        <v>984707674</v>
      </c>
      <c r="G70" s="9" t="str">
        <f>if(ISNA(VLOOKUP(B70,F_DangKiGiaoVien!$C$2:$Q999,2,0)),"Chưa ĐK","Đã ĐK")</f>
        <v>Đã ĐK</v>
      </c>
      <c r="H70" s="9" t="str">
        <f>if(ISNA(VLOOKUP(B70,F_DangKiGiaoVien!$C$2:$Q999,5,0)),"",VLOOKUP(B70,F_DangKiGiaoVien!$C$2:$Q999,5,0))</f>
        <v>Thực hiện đồ án tốt nghiệp</v>
      </c>
      <c r="I70" s="9" t="str">
        <f>if(ISNA(VLOOKUP(B70,F_DangKiGiaoVien!$C$2:$Q999,2,0)),"",VLOOKUP(B70,F_DangKiGiaoVien!$C$2:$Q999,6,0))</f>
        <v>Đoàn Thiện Minh</v>
      </c>
      <c r="J70" s="1" t="s">
        <v>392</v>
      </c>
      <c r="K70" s="9" t="str">
        <f>if(ISNA(VLOOKUP(B70,F_DangKiGiaoVien!$C$2:$Q999,2,0)),"",VLOOKUP(B70,F_DangKiGiaoVien!$C$2:$Q999,8,0))</f>
        <v>EatFitAI - Ứng dụng trí tuệ nhân tạo hỗ trợ theo dõi dinh dưỡng và sức khỏe</v>
      </c>
    </row>
    <row r="71">
      <c r="A71" s="9">
        <f t="shared" si="1"/>
        <v>70</v>
      </c>
      <c r="B71" s="1">
        <v>1.22000156E8</v>
      </c>
      <c r="C71" s="9" t="str">
        <f>VLOOKUP(B71,students!$B$2:$I$197,2,0)</f>
        <v>22CT113</v>
      </c>
      <c r="D71" s="9" t="str">
        <f>VLOOKUP(B71,students!$B$2:$I$197,3,0)</f>
        <v>Đinh Công</v>
      </c>
      <c r="E71" s="9" t="str">
        <f>VLOOKUP(B71,students!$B$2:$I$197,4,0)</f>
        <v>Hiếu</v>
      </c>
      <c r="F71" s="15">
        <f>VLOOKUP(B71,students!$B$2:$I$197,7,0)</f>
        <v>978125614</v>
      </c>
      <c r="G71" s="9" t="str">
        <f>if(ISNA(VLOOKUP(B71,F_DangKiGiaoVien!$C$2:$Q999,2,0)),"Chưa ĐK","Đã ĐK")</f>
        <v>Đã ĐK</v>
      </c>
      <c r="H71" s="9" t="str">
        <f>if(ISNA(VLOOKUP(B71,F_DangKiGiaoVien!$C$2:$Q999,5,0)),"",VLOOKUP(B71,F_DangKiGiaoVien!$C$2:$Q999,5,0))</f>
        <v>Thực hiện đồ án tốt nghiệp</v>
      </c>
      <c r="I71" s="9" t="str">
        <f>if(ISNA(VLOOKUP(B71,F_DangKiGiaoVien!$C$2:$Q999,2,0)),"",VLOOKUP(B71,F_DangKiGiaoVien!$C$2:$Q999,6,0))</f>
        <v>Đoàn Thiện Minh</v>
      </c>
      <c r="J71" s="1" t="s">
        <v>392</v>
      </c>
      <c r="K71" s="9" t="str">
        <f>if(ISNA(VLOOKUP(B71,F_DangKiGiaoVien!$C$2:$Q999,2,0)),"",VLOOKUP(B71,F_DangKiGiaoVien!$C$2:$Q999,8,0))</f>
        <v>	EatFitAI - Ứng dụng trí tuệ nhân tạo hỗ trợ theo dõi dinh dưỡng và sức khỏe</v>
      </c>
    </row>
    <row r="72">
      <c r="A72" s="9">
        <f t="shared" si="1"/>
        <v>71</v>
      </c>
      <c r="B72" s="1">
        <v>1.22000186E8</v>
      </c>
      <c r="C72" s="9" t="str">
        <f>VLOOKUP(B72,students!$B$2:$I$197,2,0)</f>
        <v>22CT113</v>
      </c>
      <c r="D72" s="9" t="str">
        <f>VLOOKUP(B72,students!$B$2:$I$197,3,0)</f>
        <v>Vũ Nguyễn Quang</v>
      </c>
      <c r="E72" s="9" t="str">
        <f>VLOOKUP(B72,students!$B$2:$I$197,4,0)</f>
        <v>Thiện</v>
      </c>
      <c r="F72" s="15">
        <f>VLOOKUP(B72,students!$B$2:$I$197,7,0)</f>
        <v>983821884</v>
      </c>
      <c r="G72" s="9" t="str">
        <f>if(ISNA(VLOOKUP(B72,F_DangKiGiaoVien!$C$2:$Q999,2,0)),"Chưa ĐK","Đã ĐK")</f>
        <v>Đã ĐK</v>
      </c>
      <c r="H72" s="9" t="str">
        <f>if(ISNA(VLOOKUP(B72,F_DangKiGiaoVien!$C$2:$Q999,5,0)),"",VLOOKUP(B72,F_DangKiGiaoVien!$C$2:$Q999,5,0))</f>
        <v>Thực hiện đồ án tốt nghiệp</v>
      </c>
      <c r="I72" s="9" t="str">
        <f>if(ISNA(VLOOKUP(B72,F_DangKiGiaoVien!$C$2:$Q999,2,0)),"",VLOOKUP(B72,F_DangKiGiaoVien!$C$2:$Q999,6,0))</f>
        <v>Phan Mạnh Thường</v>
      </c>
      <c r="J72" s="1" t="s">
        <v>392</v>
      </c>
      <c r="K72" s="9" t="str">
        <f>if(ISNA(VLOOKUP(B72,F_DangKiGiaoVien!$C$2:$Q999,2,0)),"",VLOOKUP(B72,F_DangKiGiaoVien!$C$2:$Q999,8,0))</f>
        <v>Nhận diện sâu hại trên lá câu trồng</v>
      </c>
    </row>
    <row r="73">
      <c r="A73" s="9">
        <f t="shared" si="1"/>
        <v>72</v>
      </c>
      <c r="B73" s="1">
        <v>1.2200022E8</v>
      </c>
      <c r="C73" s="9" t="str">
        <f>VLOOKUP(B73,students!$B$2:$I$197,2,0)</f>
        <v>22CT113</v>
      </c>
      <c r="D73" s="9" t="str">
        <f>VLOOKUP(B73,students!$B$2:$I$197,3,0)</f>
        <v>Bùi Hữu</v>
      </c>
      <c r="E73" s="9" t="str">
        <f>VLOOKUP(B73,students!$B$2:$I$197,4,0)</f>
        <v>Phước</v>
      </c>
      <c r="F73" s="15">
        <f>VLOOKUP(B73,students!$B$2:$I$197,7,0)</f>
        <v>982675191</v>
      </c>
      <c r="G73" s="9" t="str">
        <f>if(ISNA(VLOOKUP(B73,F_DangKiGiaoVien!$C$2:$Q999,2,0)),"Chưa ĐK","Đã ĐK")</f>
        <v>Đã ĐK</v>
      </c>
      <c r="H73" s="9" t="str">
        <f>if(ISNA(VLOOKUP(B73,F_DangKiGiaoVien!$C$2:$Q999,5,0)),"",VLOOKUP(B73,F_DangKiGiaoVien!$C$2:$Q999,5,0))</f>
        <v>Thực hiện đồ án tốt nghiệp</v>
      </c>
      <c r="I73" s="9" t="str">
        <f>if(ISNA(VLOOKUP(B73,F_DangKiGiaoVien!$C$2:$Q999,2,0)),"",VLOOKUP(B73,F_DangKiGiaoVien!$C$2:$Q999,6,0))</f>
        <v>Đoàn Thiện Minh</v>
      </c>
      <c r="J73" s="1" t="s">
        <v>392</v>
      </c>
      <c r="K73" s="9" t="str">
        <f>if(ISNA(VLOOKUP(B73,F_DangKiGiaoVien!$C$2:$Q999,2,0)),"",VLOOKUP(B73,F_DangKiGiaoVien!$C$2:$Q999,8,0))</f>
        <v>Phát hiện bệnh trên lá cây điều</v>
      </c>
    </row>
    <row r="74">
      <c r="A74" s="9">
        <f t="shared" si="1"/>
        <v>73</v>
      </c>
      <c r="B74" s="1">
        <v>1.22000227E8</v>
      </c>
      <c r="C74" s="9" t="str">
        <f>VLOOKUP(B74,students!$B$2:$I$197,2,0)</f>
        <v>22CT113</v>
      </c>
      <c r="D74" s="9" t="str">
        <f>VLOOKUP(B74,students!$B$2:$I$197,3,0)</f>
        <v>Tạ Ngọc</v>
      </c>
      <c r="E74" s="9" t="str">
        <f>VLOOKUP(B74,students!$B$2:$I$197,4,0)</f>
        <v>Chương</v>
      </c>
      <c r="F74" s="15">
        <f>VLOOKUP(B74,students!$B$2:$I$197,7,0)</f>
        <v>393972494</v>
      </c>
      <c r="G74" s="9" t="str">
        <f>if(ISNA(VLOOKUP(B74,F_DangKiGiaoVien!$C$2:$Q999,2,0)),"Chưa ĐK","Đã ĐK")</f>
        <v>Đã ĐK</v>
      </c>
      <c r="H74" s="9" t="str">
        <f>if(ISNA(VLOOKUP(B74,F_DangKiGiaoVien!$C$2:$Q999,5,0)),"",VLOOKUP(B74,F_DangKiGiaoVien!$C$2:$Q999,5,0))</f>
        <v>Thực hiện đồ án tốt nghiệp</v>
      </c>
      <c r="I74" s="9" t="str">
        <f>if(ISNA(VLOOKUP(B74,F_DangKiGiaoVien!$C$2:$Q999,2,0)),"",VLOOKUP(B74,F_DangKiGiaoVien!$C$2:$Q999,6,0))</f>
        <v>Phan Thiện Phước</v>
      </c>
      <c r="J74" s="1" t="s">
        <v>392</v>
      </c>
      <c r="K74" s="9" t="str">
        <f>if(ISNA(VLOOKUP(B74,F_DangKiGiaoVien!$C$2:$Q999,2,0)),"",VLOOKUP(B74,F_DangKiGiaoVien!$C$2:$Q999,8,0))</f>
        <v>hệ thống tưới tiêu thông minh</v>
      </c>
    </row>
    <row r="75">
      <c r="A75" s="9">
        <f t="shared" si="1"/>
        <v>74</v>
      </c>
      <c r="B75" s="1">
        <v>1.22000275E8</v>
      </c>
      <c r="C75" s="9" t="str">
        <f>VLOOKUP(B75,students!$B$2:$I$197,2,0)</f>
        <v>22CT113</v>
      </c>
      <c r="D75" s="9" t="str">
        <f>VLOOKUP(B75,students!$B$2:$I$197,3,0)</f>
        <v>Nguyễn Nguyên</v>
      </c>
      <c r="E75" s="9" t="str">
        <f>VLOOKUP(B75,students!$B$2:$I$197,4,0)</f>
        <v>Hoàng</v>
      </c>
      <c r="F75" s="15">
        <f>VLOOKUP(B75,students!$B$2:$I$197,7,0)</f>
        <v>706815466</v>
      </c>
      <c r="G75" s="9" t="str">
        <f>if(ISNA(VLOOKUP(B75,F_DangKiGiaoVien!$C$2:$Q999,2,0)),"Chưa ĐK","Đã ĐK")</f>
        <v>Đã ĐK</v>
      </c>
      <c r="H75" s="9" t="str">
        <f>if(ISNA(VLOOKUP(B75,F_DangKiGiaoVien!$C$2:$Q999,5,0)),"",VLOOKUP(B75,F_DangKiGiaoVien!$C$2:$Q999,5,0))</f>
        <v>Thực hiện đồ án tốt nghiệp</v>
      </c>
      <c r="I75" s="9" t="str">
        <f>if(ISNA(VLOOKUP(B75,F_DangKiGiaoVien!$C$2:$Q999,2,0)),"",VLOOKUP(B75,F_DangKiGiaoVien!$C$2:$Q999,6,0))</f>
        <v>Phan Mạnh Thường</v>
      </c>
      <c r="J75" s="1" t="s">
        <v>392</v>
      </c>
      <c r="K75" s="9" t="str">
        <f>if(ISNA(VLOOKUP(B75,F_DangKiGiaoVien!$C$2:$Q999,2,0)),"",VLOOKUP(B75,F_DangKiGiaoVien!$C$2:$Q999,8,0))</f>
        <v>Xây dựng ứng dụng hỗ trợ trẻ tự kỷ/chậm nói học qua hình ảnh (AAC App)</v>
      </c>
    </row>
    <row r="76">
      <c r="A76" s="9">
        <f t="shared" si="1"/>
        <v>75</v>
      </c>
      <c r="B76" s="1">
        <v>1.22000295E8</v>
      </c>
      <c r="C76" s="9" t="str">
        <f>VLOOKUP(B76,students!$B$2:$I$197,2,0)</f>
        <v>22CT113</v>
      </c>
      <c r="D76" s="9" t="str">
        <f>VLOOKUP(B76,students!$B$2:$I$197,3,0)</f>
        <v>Đặng Hoàng Minh</v>
      </c>
      <c r="E76" s="9" t="str">
        <f>VLOOKUP(B76,students!$B$2:$I$197,4,0)</f>
        <v>Quân</v>
      </c>
      <c r="F76" s="15">
        <f>VLOOKUP(B76,students!$B$2:$I$197,7,0)</f>
        <v>976026004</v>
      </c>
      <c r="G76" s="9" t="str">
        <f>if(ISNA(VLOOKUP(B76,F_DangKiGiaoVien!$C$2:$Q999,2,0)),"Chưa ĐK","Đã ĐK")</f>
        <v>Đã ĐK</v>
      </c>
      <c r="H76" s="9" t="str">
        <f>if(ISNA(VLOOKUP(B76,F_DangKiGiaoVien!$C$2:$Q999,5,0)),"",VLOOKUP(B76,F_DangKiGiaoVien!$C$2:$Q999,5,0))</f>
        <v>Đặc cách tốt nghiệp</v>
      </c>
      <c r="I76" s="9" t="str">
        <f>if(ISNA(VLOOKUP(B76,F_DangKiGiaoVien!$C$2:$Q999,2,0)),"",VLOOKUP(B76,F_DangKiGiaoVien!$C$2:$Q999,6,0))</f>
        <v>Đặc cách tốt nghiệp</v>
      </c>
      <c r="J76" s="9"/>
      <c r="K76" s="9" t="str">
        <f>if(ISNA(VLOOKUP(B76,F_DangKiGiaoVien!$C$2:$Q999,2,0)),"",VLOOKUP(B76,F_DangKiGiaoVien!$C$2:$Q999,8,0))</f>
        <v/>
      </c>
    </row>
    <row r="77">
      <c r="A77" s="9">
        <f t="shared" si="1"/>
        <v>76</v>
      </c>
      <c r="B77" s="1">
        <v>1.22000309E8</v>
      </c>
      <c r="C77" s="9" t="str">
        <f>VLOOKUP(B77,students!$B$2:$I$197,2,0)</f>
        <v>22CT113</v>
      </c>
      <c r="D77" s="9" t="str">
        <f>VLOOKUP(B77,students!$B$2:$I$197,3,0)</f>
        <v>Nguyễn Lê</v>
      </c>
      <c r="E77" s="9" t="str">
        <f>VLOOKUP(B77,students!$B$2:$I$197,4,0)</f>
        <v>Hoàng</v>
      </c>
      <c r="F77" s="15">
        <f>VLOOKUP(B77,students!$B$2:$I$197,7,0)</f>
        <v>879057312</v>
      </c>
      <c r="G77" s="9" t="str">
        <f>if(ISNA(VLOOKUP(B77,F_DangKiGiaoVien!$C$2:$Q999,2,0)),"Chưa ĐK","Đã ĐK")</f>
        <v>Đã ĐK</v>
      </c>
      <c r="H77" s="9" t="str">
        <f>if(ISNA(VLOOKUP(B77,F_DangKiGiaoVien!$C$2:$Q999,5,0)),"",VLOOKUP(B77,F_DangKiGiaoVien!$C$2:$Q999,5,0))</f>
        <v>Thực hiện đồ án tốt nghiệp</v>
      </c>
      <c r="I77" s="9" t="str">
        <f>if(ISNA(VLOOKUP(B77,F_DangKiGiaoVien!$C$2:$Q999,2,0)),"",VLOOKUP(B77,F_DangKiGiaoVien!$C$2:$Q999,6,0))</f>
        <v>Phan Mạnh Thường</v>
      </c>
      <c r="J77" s="1" t="s">
        <v>392</v>
      </c>
      <c r="K77" s="9" t="str">
        <f>if(ISNA(VLOOKUP(B77,F_DangKiGiaoVien!$C$2:$Q999,2,0)),"",VLOOKUP(B77,F_DangKiGiaoVien!$C$2:$Q999,8,0))</f>
        <v>Xây dựng ứng dụng hỗ trợ trẻ tự kỷ/chậm nói học qua hình ảnh (AAC App)</v>
      </c>
    </row>
    <row r="78">
      <c r="A78" s="9">
        <f t="shared" si="1"/>
        <v>77</v>
      </c>
      <c r="B78" s="1">
        <v>1.22000338E8</v>
      </c>
      <c r="C78" s="9" t="str">
        <f>VLOOKUP(B78,students!$B$2:$I$197,2,0)</f>
        <v>22CT113</v>
      </c>
      <c r="D78" s="9" t="str">
        <f>VLOOKUP(B78,students!$B$2:$I$197,3,0)</f>
        <v>Đặng Trần Nguyên</v>
      </c>
      <c r="E78" s="9" t="str">
        <f>VLOOKUP(B78,students!$B$2:$I$197,4,0)</f>
        <v>Khang</v>
      </c>
      <c r="F78" s="15">
        <f>VLOOKUP(B78,students!$B$2:$I$197,7,0)</f>
        <v>359208596</v>
      </c>
      <c r="G78" s="9" t="str">
        <f>if(ISNA(VLOOKUP(B78,F_DangKiGiaoVien!$C$2:$Q999,2,0)),"Chưa ĐK","Đã ĐK")</f>
        <v>Đã ĐK</v>
      </c>
      <c r="H78" s="9" t="str">
        <f>if(ISNA(VLOOKUP(B78,F_DangKiGiaoVien!$C$2:$Q999,5,0)),"",VLOOKUP(B78,F_DangKiGiaoVien!$C$2:$Q999,5,0))</f>
        <v>Thực hiện đồ án tốt nghiệp</v>
      </c>
      <c r="I78" s="9" t="str">
        <f>if(ISNA(VLOOKUP(B78,F_DangKiGiaoVien!$C$2:$Q999,2,0)),"",VLOOKUP(B78,F_DangKiGiaoVien!$C$2:$Q999,6,0))</f>
        <v>Phan Mạnh Thường</v>
      </c>
      <c r="J78" s="1" t="s">
        <v>392</v>
      </c>
      <c r="K78" s="9" t="str">
        <f>if(ISNA(VLOOKUP(B78,F_DangKiGiaoVien!$C$2:$Q999,2,0)),"",VLOOKUP(B78,F_DangKiGiaoVien!$C$2:$Q999,8,0))</f>
        <v>Xây dựng công cụ phát hiện đạo văn và kiểm tra độ trùng lặp văn bản tiếng Việt</v>
      </c>
    </row>
    <row r="79">
      <c r="A79" s="9">
        <f t="shared" si="1"/>
        <v>78</v>
      </c>
      <c r="B79" s="1">
        <v>1.22000401E8</v>
      </c>
      <c r="C79" s="9" t="str">
        <f>VLOOKUP(B79,students!$B$2:$I$197,2,0)</f>
        <v>22CT113</v>
      </c>
      <c r="D79" s="9" t="str">
        <f>VLOOKUP(B79,students!$B$2:$I$197,3,0)</f>
        <v>Vương Hoàng</v>
      </c>
      <c r="E79" s="9" t="str">
        <f>VLOOKUP(B79,students!$B$2:$I$197,4,0)</f>
        <v>Nam</v>
      </c>
      <c r="F79" s="15">
        <f>VLOOKUP(B79,students!$B$2:$I$197,7,0)</f>
        <v>362567818</v>
      </c>
      <c r="G79" s="9" t="str">
        <f>if(ISNA(VLOOKUP(B79,F_DangKiGiaoVien!$C$2:$Q999,2,0)),"Chưa ĐK","Đã ĐK")</f>
        <v>Đã ĐK</v>
      </c>
      <c r="H79" s="9" t="str">
        <f>if(ISNA(VLOOKUP(B79,F_DangKiGiaoVien!$C$2:$Q999,5,0)),"",VLOOKUP(B79,F_DangKiGiaoVien!$C$2:$Q999,5,0))</f>
        <v>Đặc cách tốt nghiệp</v>
      </c>
      <c r="I79" s="9" t="str">
        <f>if(ISNA(VLOOKUP(B79,F_DangKiGiaoVien!$C$2:$Q999,2,0)),"",VLOOKUP(B79,F_DangKiGiaoVien!$C$2:$Q999,6,0))</f>
        <v>Đặc cách tốt nghiệp</v>
      </c>
      <c r="J79" s="9"/>
      <c r="K79" s="9" t="str">
        <f>if(ISNA(VLOOKUP(B79,F_DangKiGiaoVien!$C$2:$Q999,2,0)),"",VLOOKUP(B79,F_DangKiGiaoVien!$C$2:$Q999,8,0))</f>
        <v/>
      </c>
    </row>
    <row r="80">
      <c r="A80" s="9">
        <f t="shared" si="1"/>
        <v>79</v>
      </c>
      <c r="B80" s="1">
        <v>1.22000405E8</v>
      </c>
      <c r="C80" s="9" t="str">
        <f>VLOOKUP(B80,students!$B$2:$I$197,2,0)</f>
        <v>22CT113</v>
      </c>
      <c r="D80" s="9" t="str">
        <f>VLOOKUP(B80,students!$B$2:$I$197,3,0)</f>
        <v>Phan Trần Trung</v>
      </c>
      <c r="E80" s="9" t="str">
        <f>VLOOKUP(B80,students!$B$2:$I$197,4,0)</f>
        <v>Hiếu</v>
      </c>
      <c r="F80" s="15">
        <f>VLOOKUP(B80,students!$B$2:$I$197,7,0)</f>
        <v>798032210</v>
      </c>
      <c r="G80" s="9" t="str">
        <f>if(ISNA(VLOOKUP(B80,F_DangKiGiaoVien!$C$2:$Q999,2,0)),"Chưa ĐK","Đã ĐK")</f>
        <v>Đã ĐK</v>
      </c>
      <c r="H80" s="9" t="str">
        <f>if(ISNA(VLOOKUP(B80,F_DangKiGiaoVien!$C$2:$Q999,5,0)),"",VLOOKUP(B80,F_DangKiGiaoVien!$C$2:$Q999,5,0))</f>
        <v>Thực hiện đồ án tốt nghiệp</v>
      </c>
      <c r="I80" s="9" t="str">
        <f>if(ISNA(VLOOKUP(B80,F_DangKiGiaoVien!$C$2:$Q999,2,0)),"",VLOOKUP(B80,F_DangKiGiaoVien!$C$2:$Q999,6,0))</f>
        <v>Đoàn Thiện Minh</v>
      </c>
      <c r="J80" s="1" t="s">
        <v>392</v>
      </c>
      <c r="K80" s="9" t="str">
        <f>if(ISNA(VLOOKUP(B80,F_DangKiGiaoVien!$C$2:$Q999,2,0)),"",VLOOKUP(B80,F_DangKiGiaoVien!$C$2:$Q999,8,0))</f>
        <v>Ứng dụng phát hiện bệnh lúa qua ảnh</v>
      </c>
    </row>
    <row r="81">
      <c r="A81" s="9">
        <f t="shared" si="1"/>
        <v>80</v>
      </c>
      <c r="B81" s="1">
        <v>1.22000426E8</v>
      </c>
      <c r="C81" s="9" t="str">
        <f>VLOOKUP(B81,students!$B$2:$I$197,2,0)</f>
        <v>22CT113</v>
      </c>
      <c r="D81" s="9" t="str">
        <f>VLOOKUP(B81,students!$B$2:$I$197,3,0)</f>
        <v>Nguyễn Văn</v>
      </c>
      <c r="E81" s="9" t="str">
        <f>VLOOKUP(B81,students!$B$2:$I$197,4,0)</f>
        <v>Hậu</v>
      </c>
      <c r="F81" s="15">
        <f>VLOOKUP(B81,students!$B$2:$I$197,7,0)</f>
        <v>379188976</v>
      </c>
      <c r="G81" s="9" t="str">
        <f>if(ISNA(VLOOKUP(B81,F_DangKiGiaoVien!$C$2:$Q999,2,0)),"Chưa ĐK","Đã ĐK")</f>
        <v>Đã ĐK</v>
      </c>
      <c r="H81" s="9" t="str">
        <f>if(ISNA(VLOOKUP(B81,F_DangKiGiaoVien!$C$2:$Q999,5,0)),"",VLOOKUP(B81,F_DangKiGiaoVien!$C$2:$Q999,5,0))</f>
        <v>Thực hiện đồ án tốt nghiệp</v>
      </c>
      <c r="I81" s="9" t="str">
        <f>if(ISNA(VLOOKUP(B81,F_DangKiGiaoVien!$C$2:$Q999,2,0)),"",VLOOKUP(B81,F_DangKiGiaoVien!$C$2:$Q999,6,0))</f>
        <v>Phan Thiện Phước</v>
      </c>
      <c r="J81" s="1" t="s">
        <v>392</v>
      </c>
      <c r="K81" s="9" t="str">
        <f>if(ISNA(VLOOKUP(B81,F_DangKiGiaoVien!$C$2:$Q999,2,0)),"",VLOOKUP(B81,F_DangKiGiaoVien!$C$2:$Q999,8,0))</f>
        <v>hệ thống tưới tiêu thông minh</v>
      </c>
    </row>
    <row r="82">
      <c r="A82" s="9">
        <f t="shared" si="1"/>
        <v>81</v>
      </c>
      <c r="B82" s="1">
        <v>1.2200051E8</v>
      </c>
      <c r="C82" s="9" t="str">
        <f>VLOOKUP(B82,students!$B$2:$I$197,2,0)</f>
        <v>22CT113</v>
      </c>
      <c r="D82" s="9" t="str">
        <f>VLOOKUP(B82,students!$B$2:$I$197,3,0)</f>
        <v>Nguyễn Hữu</v>
      </c>
      <c r="E82" s="9" t="str">
        <f>VLOOKUP(B82,students!$B$2:$I$197,4,0)</f>
        <v>Nhật</v>
      </c>
      <c r="F82" s="15">
        <f>VLOOKUP(B82,students!$B$2:$I$197,7,0)</f>
        <v>377671847</v>
      </c>
      <c r="G82" s="9" t="str">
        <f>if(ISNA(VLOOKUP(B82,F_DangKiGiaoVien!$C$2:$Q999,2,0)),"Chưa ĐK","Đã ĐK")</f>
        <v>Đã ĐK</v>
      </c>
      <c r="H82" s="9" t="str">
        <f>if(ISNA(VLOOKUP(B82,F_DangKiGiaoVien!$C$2:$Q999,5,0)),"",VLOOKUP(B82,F_DangKiGiaoVien!$C$2:$Q999,5,0))</f>
        <v>Thực hiện đồ án tốt nghiệp</v>
      </c>
      <c r="I82" s="9" t="str">
        <f>if(ISNA(VLOOKUP(B82,F_DangKiGiaoVien!$C$2:$Q999,2,0)),"",VLOOKUP(B82,F_DangKiGiaoVien!$C$2:$Q999,6,0))</f>
        <v>Nguyễn Minh Sơn</v>
      </c>
      <c r="J82" s="1" t="s">
        <v>392</v>
      </c>
      <c r="K82" s="9" t="str">
        <f>if(ISNA(VLOOKUP(B82,F_DangKiGiaoVien!$C$2:$Q999,2,0)),"",VLOOKUP(B82,F_DangKiGiaoVien!$C$2:$Q999,8,0))</f>
        <v>Ứng dụng AI tạo mô tả sản phẩm tự động cho các sàn thương mại điện tử.</v>
      </c>
    </row>
    <row r="83">
      <c r="A83" s="9">
        <f t="shared" si="1"/>
        <v>82</v>
      </c>
      <c r="B83" s="1">
        <v>1.22000564E8</v>
      </c>
      <c r="C83" s="9" t="str">
        <f>VLOOKUP(B83,students!$B$2:$I$197,2,0)</f>
        <v>22CT113</v>
      </c>
      <c r="D83" s="9" t="str">
        <f>VLOOKUP(B83,students!$B$2:$I$197,3,0)</f>
        <v>Nguyễn Thành</v>
      </c>
      <c r="E83" s="9" t="str">
        <f>VLOOKUP(B83,students!$B$2:$I$197,4,0)</f>
        <v>Nhân</v>
      </c>
      <c r="F83" s="15">
        <f>VLOOKUP(B83,students!$B$2:$I$197,7,0)</f>
        <v>933669137</v>
      </c>
      <c r="G83" s="9" t="str">
        <f>if(ISNA(VLOOKUP(B83,F_DangKiGiaoVien!$C$2:$Q999,2,0)),"Chưa ĐK","Đã ĐK")</f>
        <v>Đã ĐK</v>
      </c>
      <c r="H83" s="9" t="str">
        <f>if(ISNA(VLOOKUP(B83,F_DangKiGiaoVien!$C$2:$Q999,5,0)),"",VLOOKUP(B83,F_DangKiGiaoVien!$C$2:$Q999,5,0))</f>
        <v>Thực hiện đồ án tốt nghiệp</v>
      </c>
      <c r="I83" s="9" t="str">
        <f>if(ISNA(VLOOKUP(B83,F_DangKiGiaoVien!$C$2:$Q999,2,0)),"",VLOOKUP(B83,F_DangKiGiaoVien!$C$2:$Q999,6,0))</f>
        <v>Đoàn Thiện Minh</v>
      </c>
      <c r="J83" s="1" t="s">
        <v>392</v>
      </c>
      <c r="K83" s="9" t="str">
        <f>if(ISNA(VLOOKUP(B83,F_DangKiGiaoVien!$C$2:$Q999,2,0)),"",VLOOKUP(B83,F_DangKiGiaoVien!$C$2:$Q999,8,0))</f>
        <v>Ứng dụng phát hiện bệnh lúa qua ảnh</v>
      </c>
    </row>
    <row r="84">
      <c r="A84" s="9">
        <f t="shared" si="1"/>
        <v>83</v>
      </c>
      <c r="B84" s="1">
        <v>1.22000661E8</v>
      </c>
      <c r="C84" s="9" t="str">
        <f>VLOOKUP(B84,students!$B$2:$I$197,2,0)</f>
        <v>22CT113</v>
      </c>
      <c r="D84" s="9" t="str">
        <f>VLOOKUP(B84,students!$B$2:$I$197,3,0)</f>
        <v>Trần Đức</v>
      </c>
      <c r="E84" s="9" t="str">
        <f>VLOOKUP(B84,students!$B$2:$I$197,4,0)</f>
        <v>Huy</v>
      </c>
      <c r="F84" s="15">
        <f>VLOOKUP(B84,students!$B$2:$I$197,7,0)</f>
        <v>332720697</v>
      </c>
      <c r="G84" s="9" t="str">
        <f>if(ISNA(VLOOKUP(B84,F_DangKiGiaoVien!$C$2:$Q999,2,0)),"Chưa ĐK","Đã ĐK")</f>
        <v>Đã ĐK</v>
      </c>
      <c r="H84" s="9" t="str">
        <f>if(ISNA(VLOOKUP(B84,F_DangKiGiaoVien!$C$2:$Q999,5,0)),"",VLOOKUP(B84,F_DangKiGiaoVien!$C$2:$Q999,5,0))</f>
        <v>Thực hiện đồ án tốt nghiệp</v>
      </c>
      <c r="I84" s="9" t="str">
        <f>if(ISNA(VLOOKUP(B84,F_DangKiGiaoVien!$C$2:$Q999,2,0)),"",VLOOKUP(B84,F_DangKiGiaoVien!$C$2:$Q999,6,0))</f>
        <v>Bùi Thị Thu Trang</v>
      </c>
      <c r="J84" s="1" t="s">
        <v>392</v>
      </c>
      <c r="K84" s="9" t="str">
        <f>if(ISNA(VLOOKUP(B84,F_DangKiGiaoVien!$C$2:$Q999,2,0)),"",VLOOKUP(B84,F_DangKiGiaoVien!$C$2:$Q999,8,0))</f>
        <v>Đánh giá hiệu quả và đưa ra chiến lược MKT trên sàn TMĐT</v>
      </c>
    </row>
    <row r="85">
      <c r="A85" s="9">
        <f t="shared" si="1"/>
        <v>84</v>
      </c>
      <c r="B85" s="1">
        <v>1.22000725E8</v>
      </c>
      <c r="C85" s="9" t="str">
        <f>VLOOKUP(B85,students!$B$2:$I$197,2,0)</f>
        <v>22CT113</v>
      </c>
      <c r="D85" s="9" t="str">
        <f>VLOOKUP(B85,students!$B$2:$I$197,3,0)</f>
        <v>Phan Hoàng</v>
      </c>
      <c r="E85" s="9" t="str">
        <f>VLOOKUP(B85,students!$B$2:$I$197,4,0)</f>
        <v>Anh</v>
      </c>
      <c r="F85" s="15">
        <f>VLOOKUP(B85,students!$B$2:$I$197,7,0)</f>
        <v>867690787</v>
      </c>
      <c r="G85" s="9" t="str">
        <f>if(ISNA(VLOOKUP(B85,F_DangKiGiaoVien!$C$2:$Q999,2,0)),"Chưa ĐK","Đã ĐK")</f>
        <v>Đã ĐK</v>
      </c>
      <c r="H85" s="9" t="str">
        <f>if(ISNA(VLOOKUP(B85,F_DangKiGiaoVien!$C$2:$Q999,5,0)),"",VLOOKUP(B85,F_DangKiGiaoVien!$C$2:$Q999,5,0))</f>
        <v>Thực hiện đồ án tốt nghiệp</v>
      </c>
      <c r="I85" s="9" t="str">
        <f>if(ISNA(VLOOKUP(B85,F_DangKiGiaoVien!$C$2:$Q999,2,0)),"",VLOOKUP(B85,F_DangKiGiaoVien!$C$2:$Q999,6,0))</f>
        <v>Phan Mạnh Thường</v>
      </c>
      <c r="J85" s="1" t="s">
        <v>392</v>
      </c>
      <c r="K85" s="9" t="str">
        <f>if(ISNA(VLOOKUP(B85,F_DangKiGiaoVien!$C$2:$Q999,2,0)),"",VLOOKUP(B85,F_DangKiGiaoVien!$C$2:$Q999,8,0))</f>
        <v>Xây dựng ứng dụng di động phân loại chất lượng sầu riêng Thái dựa trên hình dáng và độ chín</v>
      </c>
    </row>
    <row r="86">
      <c r="A86" s="9">
        <f t="shared" si="1"/>
        <v>85</v>
      </c>
      <c r="B86" s="1">
        <v>1.22000749E8</v>
      </c>
      <c r="C86" s="9" t="str">
        <f>VLOOKUP(B86,students!$B$2:$I$197,2,0)</f>
        <v>22CT113</v>
      </c>
      <c r="D86" s="9" t="str">
        <f>VLOOKUP(B86,students!$B$2:$I$197,3,0)</f>
        <v>Nguyễn Đặng Giang</v>
      </c>
      <c r="E86" s="9" t="str">
        <f>VLOOKUP(B86,students!$B$2:$I$197,4,0)</f>
        <v>Trường</v>
      </c>
      <c r="F86" s="15">
        <f>VLOOKUP(B86,students!$B$2:$I$197,7,0)</f>
        <v>327986472</v>
      </c>
      <c r="G86" s="9" t="str">
        <f>if(ISNA(VLOOKUP(B86,F_DangKiGiaoVien!$C$2:$Q999,2,0)),"Chưa ĐK","Đã ĐK")</f>
        <v>Đã ĐK</v>
      </c>
      <c r="H86" s="9" t="str">
        <f>if(ISNA(VLOOKUP(B86,F_DangKiGiaoVien!$C$2:$Q999,5,0)),"",VLOOKUP(B86,F_DangKiGiaoVien!$C$2:$Q999,5,0))</f>
        <v>Thực hiện đồ án tốt nghiệp</v>
      </c>
      <c r="I86" s="9" t="str">
        <f>if(ISNA(VLOOKUP(B86,F_DangKiGiaoVien!$C$2:$Q999,2,0)),"",VLOOKUP(B86,F_DangKiGiaoVien!$C$2:$Q999,6,0))</f>
        <v>Nguyễn Minh Sơn</v>
      </c>
      <c r="J86" s="1" t="s">
        <v>392</v>
      </c>
      <c r="K86" s="9" t="str">
        <f>if(ISNA(VLOOKUP(B86,F_DangKiGiaoVien!$C$2:$Q999,2,0)),"",VLOOKUP(B86,F_DangKiGiaoVien!$C$2:$Q999,8,0))</f>
        <v>Hệ thống gợi ý nội thất cho nhà ở tích hợp AI</v>
      </c>
    </row>
    <row r="87">
      <c r="A87" s="9">
        <f t="shared" si="1"/>
        <v>86</v>
      </c>
      <c r="B87" s="1">
        <v>1.22000796E8</v>
      </c>
      <c r="C87" s="9" t="str">
        <f>VLOOKUP(B87,students!$B$2:$I$197,2,0)</f>
        <v>22CT113</v>
      </c>
      <c r="D87" s="9" t="str">
        <f>VLOOKUP(B87,students!$B$2:$I$197,3,0)</f>
        <v>Trần Tấn</v>
      </c>
      <c r="E87" s="9" t="str">
        <f>VLOOKUP(B87,students!$B$2:$I$197,4,0)</f>
        <v>Đạt</v>
      </c>
      <c r="F87" s="15">
        <f>VLOOKUP(B87,students!$B$2:$I$197,7,0)</f>
        <v>772792004</v>
      </c>
      <c r="G87" s="9" t="str">
        <f>if(ISNA(VLOOKUP(B87,F_DangKiGiaoVien!$C$2:$Q999,2,0)),"Chưa ĐK","Đã ĐK")</f>
        <v>Đã ĐK</v>
      </c>
      <c r="H87" s="9" t="str">
        <f>if(ISNA(VLOOKUP(B87,F_DangKiGiaoVien!$C$2:$Q999,5,0)),"",VLOOKUP(B87,F_DangKiGiaoVien!$C$2:$Q999,5,0))</f>
        <v>Thực hiện đồ án tốt nghiệp</v>
      </c>
      <c r="I87" s="9" t="str">
        <f>if(ISNA(VLOOKUP(B87,F_DangKiGiaoVien!$C$2:$Q999,2,0)),"",VLOOKUP(B87,F_DangKiGiaoVien!$C$2:$Q999,6,0))</f>
        <v>Phan Mạnh Thường</v>
      </c>
      <c r="J87" s="1" t="s">
        <v>392</v>
      </c>
      <c r="K87" s="9" t="str">
        <f>if(ISNA(VLOOKUP(B87,F_DangKiGiaoVien!$C$2:$Q999,2,0)),"",VLOOKUP(B87,F_DangKiGiaoVien!$C$2:$Q999,8,0))</f>
        <v>Xây dựng ứng dụng cảnh báo học vụ</v>
      </c>
    </row>
    <row r="88">
      <c r="A88" s="9">
        <f t="shared" si="1"/>
        <v>87</v>
      </c>
      <c r="B88" s="1">
        <v>1.22000798E8</v>
      </c>
      <c r="C88" s="9" t="str">
        <f>VLOOKUP(B88,students!$B$2:$I$197,2,0)</f>
        <v>22CT113</v>
      </c>
      <c r="D88" s="9" t="str">
        <f>VLOOKUP(B88,students!$B$2:$I$197,3,0)</f>
        <v>Trần Cẩm</v>
      </c>
      <c r="E88" s="9" t="str">
        <f>VLOOKUP(B88,students!$B$2:$I$197,4,0)</f>
        <v>Ly</v>
      </c>
      <c r="F88" s="15">
        <f>VLOOKUP(B88,students!$B$2:$I$197,7,0)</f>
        <v>842958696</v>
      </c>
      <c r="G88" s="9" t="str">
        <f>if(ISNA(VLOOKUP(B88,F_DangKiGiaoVien!$C$2:$Q999,2,0)),"Chưa ĐK","Đã ĐK")</f>
        <v>Đã ĐK</v>
      </c>
      <c r="H88" s="9" t="str">
        <f>if(ISNA(VLOOKUP(B88,F_DangKiGiaoVien!$C$2:$Q999,5,0)),"",VLOOKUP(B88,F_DangKiGiaoVien!$C$2:$Q999,5,0))</f>
        <v>Thực hiện đồ án tốt nghiệp</v>
      </c>
      <c r="I88" s="9" t="str">
        <f>if(ISNA(VLOOKUP(B88,F_DangKiGiaoVien!$C$2:$Q999,2,0)),"",VLOOKUP(B88,F_DangKiGiaoVien!$C$2:$Q999,6,0))</f>
        <v>Hồ Ngọc Hoàng Long</v>
      </c>
      <c r="J88" s="1" t="s">
        <v>392</v>
      </c>
      <c r="K88" s="9" t="str">
        <f>if(ISNA(VLOOKUP(B88,F_DangKiGiaoVien!$C$2:$Q999,2,0)),"",VLOOKUP(B88,F_DangKiGiaoVien!$C$2:$Q999,8,0))</f>
        <v>SmartBuildAI-Hệ thống quản ví vlxd thông minh</v>
      </c>
    </row>
    <row r="89">
      <c r="A89" s="9">
        <f t="shared" si="1"/>
        <v>88</v>
      </c>
      <c r="B89" s="1">
        <v>1.2200081E8</v>
      </c>
      <c r="C89" s="9" t="str">
        <f>VLOOKUP(B89,students!$B$2:$I$197,2,0)</f>
        <v>22CT113</v>
      </c>
      <c r="D89" s="9" t="str">
        <f>VLOOKUP(B89,students!$B$2:$I$197,3,0)</f>
        <v>Nguyễn Văn</v>
      </c>
      <c r="E89" s="9" t="str">
        <f>VLOOKUP(B89,students!$B$2:$I$197,4,0)</f>
        <v>Minh</v>
      </c>
      <c r="F89" s="15">
        <f>VLOOKUP(B89,students!$B$2:$I$197,7,0)</f>
        <v>378818596</v>
      </c>
      <c r="G89" s="9" t="str">
        <f>if(ISNA(VLOOKUP(B89,F_DangKiGiaoVien!$C$2:$Q999,2,0)),"Chưa ĐK","Đã ĐK")</f>
        <v>Đã ĐK</v>
      </c>
      <c r="H89" s="9" t="str">
        <f>if(ISNA(VLOOKUP(B89,F_DangKiGiaoVien!$C$2:$Q999,5,0)),"",VLOOKUP(B89,F_DangKiGiaoVien!$C$2:$Q999,5,0))</f>
        <v>Thực hiện đồ án tốt nghiệp</v>
      </c>
      <c r="I89" s="9" t="str">
        <f>if(ISNA(VLOOKUP(B89,F_DangKiGiaoVien!$C$2:$Q999,2,0)),"",VLOOKUP(B89,F_DangKiGiaoVien!$C$2:$Q999,6,0))</f>
        <v>Hoàng Sỹ Hùng </v>
      </c>
      <c r="J89" s="1" t="s">
        <v>392</v>
      </c>
      <c r="K89" s="9" t="str">
        <f>if(ISNA(VLOOKUP(B89,F_DangKiGiaoVien!$C$2:$Q999,2,0)),"",VLOOKUP(B89,F_DangKiGiaoVien!$C$2:$Q999,8,0))</f>
        <v>Kiểm thử tự động ứng dụng Web sử dụng Playwright </v>
      </c>
    </row>
    <row r="90">
      <c r="A90" s="9">
        <f t="shared" si="1"/>
        <v>89</v>
      </c>
      <c r="B90" s="1">
        <v>1.22000814E8</v>
      </c>
      <c r="C90" s="9" t="str">
        <f>VLOOKUP(B90,students!$B$2:$I$197,2,0)</f>
        <v>22CT113</v>
      </c>
      <c r="D90" s="9" t="str">
        <f>VLOOKUP(B90,students!$B$2:$I$197,3,0)</f>
        <v>Nguyễn Thành</v>
      </c>
      <c r="E90" s="9" t="str">
        <f>VLOOKUP(B90,students!$B$2:$I$197,4,0)</f>
        <v>Tài</v>
      </c>
      <c r="F90" s="15">
        <f>VLOOKUP(B90,students!$B$2:$I$197,7,0)</f>
        <v>918180969</v>
      </c>
      <c r="G90" s="9" t="str">
        <f>if(ISNA(VLOOKUP(B90,F_DangKiGiaoVien!$C$2:$Q999,2,0)),"Chưa ĐK","Đã ĐK")</f>
        <v>Đã ĐK</v>
      </c>
      <c r="H90" s="9" t="str">
        <f>if(ISNA(VLOOKUP(B90,F_DangKiGiaoVien!$C$2:$Q999,5,0)),"",VLOOKUP(B90,F_DangKiGiaoVien!$C$2:$Q999,5,0))</f>
        <v>Thực hiện đồ án tốt nghiệp</v>
      </c>
      <c r="I90" s="9" t="str">
        <f>if(ISNA(VLOOKUP(B90,F_DangKiGiaoVien!$C$2:$Q999,2,0)),"",VLOOKUP(B90,F_DangKiGiaoVien!$C$2:$Q999,6,0))</f>
        <v>Hồ Ngọc Hoàng Long</v>
      </c>
      <c r="J90" s="1" t="s">
        <v>392</v>
      </c>
      <c r="K90" s="9" t="str">
        <f>if(ISNA(VLOOKUP(B90,F_DangKiGiaoVien!$C$2:$Q999,2,0)),"",VLOOKUP(B90,F_DangKiGiaoVien!$C$2:$Q999,8,0))</f>
        <v>SmartBuildAI - Hệ thống quản lí cửa hàng VLXD thông minh</v>
      </c>
    </row>
    <row r="91">
      <c r="A91" s="9">
        <f t="shared" si="1"/>
        <v>90</v>
      </c>
      <c r="B91" s="1">
        <v>1.22000821E8</v>
      </c>
      <c r="C91" s="9" t="str">
        <f>VLOOKUP(B91,students!$B$2:$I$197,2,0)</f>
        <v>22CT113</v>
      </c>
      <c r="D91" s="9" t="str">
        <f>VLOOKUP(B91,students!$B$2:$I$197,3,0)</f>
        <v>Nguyễn Khánh</v>
      </c>
      <c r="E91" s="9" t="str">
        <f>VLOOKUP(B91,students!$B$2:$I$197,4,0)</f>
        <v>Duy</v>
      </c>
      <c r="F91" s="15">
        <f>VLOOKUP(B91,students!$B$2:$I$197,7,0)</f>
        <v>963047160</v>
      </c>
      <c r="G91" s="9" t="str">
        <f>if(ISNA(VLOOKUP(B91,F_DangKiGiaoVien!$C$2:$Q999,2,0)),"Chưa ĐK","Đã ĐK")</f>
        <v>Đã ĐK</v>
      </c>
      <c r="H91" s="9" t="str">
        <f>if(ISNA(VLOOKUP(B91,F_DangKiGiaoVien!$C$2:$Q999,5,0)),"",VLOOKUP(B91,F_DangKiGiaoVien!$C$2:$Q999,5,0))</f>
        <v>Thực hiện đồ án tốt nghiệp</v>
      </c>
      <c r="I91" s="9" t="str">
        <f>if(ISNA(VLOOKUP(B91,F_DangKiGiaoVien!$C$2:$Q999,2,0)),"",VLOOKUP(B91,F_DangKiGiaoVien!$C$2:$Q999,6,0))</f>
        <v>Phan Mạnh Thường</v>
      </c>
      <c r="J91" s="1" t="s">
        <v>392</v>
      </c>
      <c r="K91" s="9" t="str">
        <f>if(ISNA(VLOOKUP(B91,F_DangKiGiaoVien!$C$2:$Q999,2,0)),"",VLOOKUP(B91,F_DangKiGiaoVien!$C$2:$Q999,8,0))</f>
        <v>Xây dựng công cụ phát hiện đạo văn và kiểm tra độ trùng lặp văn bản tiếng Việt</v>
      </c>
    </row>
    <row r="92">
      <c r="A92" s="9">
        <f t="shared" si="1"/>
        <v>91</v>
      </c>
      <c r="B92" s="1">
        <v>1.22000848E8</v>
      </c>
      <c r="C92" s="9" t="str">
        <f>VLOOKUP(B92,students!$B$2:$I$197,2,0)</f>
        <v>22CT113</v>
      </c>
      <c r="D92" s="9" t="str">
        <f>VLOOKUP(B92,students!$B$2:$I$197,3,0)</f>
        <v>Hoàng Minh</v>
      </c>
      <c r="E92" s="9" t="str">
        <f>VLOOKUP(B92,students!$B$2:$I$197,4,0)</f>
        <v>Hải</v>
      </c>
      <c r="F92" s="15">
        <f>VLOOKUP(B92,students!$B$2:$I$197,7,0)</f>
        <v>376987960</v>
      </c>
      <c r="G92" s="9" t="str">
        <f>if(ISNA(VLOOKUP(B92,F_DangKiGiaoVien!$C$2:$Q999,2,0)),"Chưa ĐK","Đã ĐK")</f>
        <v>Đã ĐK</v>
      </c>
      <c r="H92" s="9" t="str">
        <f>if(ISNA(VLOOKUP(B92,F_DangKiGiaoVien!$C$2:$Q999,5,0)),"",VLOOKUP(B92,F_DangKiGiaoVien!$C$2:$Q999,5,0))</f>
        <v>Thực hiện đồ án tốt nghiệp</v>
      </c>
      <c r="I92" s="9" t="str">
        <f>if(ISNA(VLOOKUP(B92,F_DangKiGiaoVien!$C$2:$Q999,2,0)),"",VLOOKUP(B92,F_DangKiGiaoVien!$C$2:$Q999,6,0))</f>
        <v>Hoàng Sỹ Hùng</v>
      </c>
      <c r="J92" s="1" t="s">
        <v>392</v>
      </c>
      <c r="K92" s="9" t="str">
        <f>if(ISNA(VLOOKUP(B92,F_DangKiGiaoVien!$C$2:$Q999,2,0)),"",VLOOKUP(B92,F_DangKiGiaoVien!$C$2:$Q999,8,0))</f>
        <v>Quản lý CV</v>
      </c>
    </row>
    <row r="93">
      <c r="A93" s="9">
        <f t="shared" si="1"/>
        <v>92</v>
      </c>
      <c r="B93" s="1">
        <v>1.2200086E8</v>
      </c>
      <c r="C93" s="9" t="str">
        <f>VLOOKUP(B93,students!$B$2:$I$197,2,0)</f>
        <v>22CT113</v>
      </c>
      <c r="D93" s="9" t="str">
        <f>VLOOKUP(B93,students!$B$2:$I$197,3,0)</f>
        <v>Trần Trọng</v>
      </c>
      <c r="E93" s="9" t="str">
        <f>VLOOKUP(B93,students!$B$2:$I$197,4,0)</f>
        <v>Thuận</v>
      </c>
      <c r="F93" s="15">
        <f>VLOOKUP(B93,students!$B$2:$I$197,7,0)</f>
        <v>941619163</v>
      </c>
      <c r="G93" s="9" t="str">
        <f>if(ISNA(VLOOKUP(B93,F_DangKiGiaoVien!$C$2:$Q999,2,0)),"Chưa ĐK","Đã ĐK")</f>
        <v>Đã ĐK</v>
      </c>
      <c r="H93" s="9" t="str">
        <f>if(ISNA(VLOOKUP(B93,F_DangKiGiaoVien!$C$2:$Q999,5,0)),"",VLOOKUP(B93,F_DangKiGiaoVien!$C$2:$Q999,5,0))</f>
        <v>Thực hiện đồ án tốt nghiệp</v>
      </c>
      <c r="I93" s="9" t="str">
        <f>if(ISNA(VLOOKUP(B93,F_DangKiGiaoVien!$C$2:$Q999,2,0)),"",VLOOKUP(B93,F_DangKiGiaoVien!$C$2:$Q999,6,0))</f>
        <v>Nguyễn Minh Sơn</v>
      </c>
      <c r="J93" s="1" t="s">
        <v>392</v>
      </c>
      <c r="K93" s="9" t="str">
        <f>if(ISNA(VLOOKUP(B93,F_DangKiGiaoVien!$C$2:$Q999,2,0)),"",VLOOKUP(B93,F_DangKiGiaoVien!$C$2:$Q999,8,0))</f>
        <v>ỨNG DỤNG WEB TỰ ĐỘNG TẠO CÂU HỎI TRẮC NGHIỆM TỪ TÀI LIỆU </v>
      </c>
    </row>
    <row r="94">
      <c r="A94" s="9">
        <f t="shared" si="1"/>
        <v>93</v>
      </c>
      <c r="B94" s="1">
        <v>1.22000942E8</v>
      </c>
      <c r="C94" s="9" t="str">
        <f>VLOOKUP(B94,students!$B$2:$I$197,2,0)</f>
        <v>22CT113</v>
      </c>
      <c r="D94" s="9" t="str">
        <f>VLOOKUP(B94,students!$B$2:$I$197,3,0)</f>
        <v>Trịnh</v>
      </c>
      <c r="E94" s="9" t="str">
        <f>VLOOKUP(B94,students!$B$2:$I$197,4,0)</f>
        <v>Khôi</v>
      </c>
      <c r="F94" s="15">
        <f>VLOOKUP(B94,students!$B$2:$I$197,7,0)</f>
        <v>915741652</v>
      </c>
      <c r="G94" s="9" t="str">
        <f>if(ISNA(VLOOKUP(B94,F_DangKiGiaoVien!$C$2:$Q999,2,0)),"Chưa ĐK","Đã ĐK")</f>
        <v>Đã ĐK</v>
      </c>
      <c r="H94" s="9" t="str">
        <f>if(ISNA(VLOOKUP(B94,F_DangKiGiaoVien!$C$2:$Q999,5,0)),"",VLOOKUP(B94,F_DangKiGiaoVien!$C$2:$Q999,5,0))</f>
        <v>Thực hiện đồ án tốt nghiệp</v>
      </c>
      <c r="I94" s="9" t="str">
        <f>if(ISNA(VLOOKUP(B94,F_DangKiGiaoVien!$C$2:$Q999,2,0)),"",VLOOKUP(B94,F_DangKiGiaoVien!$C$2:$Q999,6,0))</f>
        <v>Nguyễn Minh Phúc</v>
      </c>
      <c r="J94" s="1" t="s">
        <v>392</v>
      </c>
      <c r="K94" s="9" t="str">
        <f>if(ISNA(VLOOKUP(B94,F_DangKiGiaoVien!$C$2:$Q999,2,0)),"",VLOOKUP(B94,F_DangKiGiaoVien!$C$2:$Q999,8,0))</f>
        <v>Xây dựng ứng dụng điện thoại di động học Kanji</v>
      </c>
    </row>
    <row r="95">
      <c r="A95" s="9">
        <f t="shared" si="1"/>
        <v>94</v>
      </c>
      <c r="B95" s="1">
        <v>1.22000971E8</v>
      </c>
      <c r="C95" s="9" t="str">
        <f>VLOOKUP(B95,students!$B$2:$I$197,2,0)</f>
        <v>22CT113</v>
      </c>
      <c r="D95" s="9" t="str">
        <f>VLOOKUP(B95,students!$B$2:$I$197,3,0)</f>
        <v>Nguyễn Trung</v>
      </c>
      <c r="E95" s="9" t="str">
        <f>VLOOKUP(B95,students!$B$2:$I$197,4,0)</f>
        <v>Tài</v>
      </c>
      <c r="F95" s="15">
        <f>VLOOKUP(B95,students!$B$2:$I$197,7,0)</f>
        <v>865667704</v>
      </c>
      <c r="G95" s="9" t="str">
        <f>if(ISNA(VLOOKUP(B95,F_DangKiGiaoVien!$C$2:$Q999,2,0)),"Chưa ĐK","Đã ĐK")</f>
        <v>Đã ĐK</v>
      </c>
      <c r="H95" s="9" t="str">
        <f>if(ISNA(VLOOKUP(B95,F_DangKiGiaoVien!$C$2:$Q999,5,0)),"",VLOOKUP(B95,F_DangKiGiaoVien!$C$2:$Q999,5,0))</f>
        <v>Thực hiện đồ án tốt nghiệp</v>
      </c>
      <c r="I95" s="9" t="str">
        <f>if(ISNA(VLOOKUP(B95,F_DangKiGiaoVien!$C$2:$Q999,2,0)),"",VLOOKUP(B95,F_DangKiGiaoVien!$C$2:$Q999,6,0))</f>
        <v>Nguyễn Vũ Thiên Phúc</v>
      </c>
      <c r="J95" s="1" t="s">
        <v>392</v>
      </c>
      <c r="K95" s="9" t="str">
        <f>if(ISNA(VLOOKUP(B95,F_DangKiGiaoVien!$C$2:$Q999,2,0)),"",VLOOKUP(B95,F_DangKiGiaoVien!$C$2:$Q999,8,0))</f>
        <v>XÂY DỰNG HỆ THỐNG ĐIỂM DANH TỰ ĐỘNG BẰNG WIFI</v>
      </c>
    </row>
    <row r="96">
      <c r="A96" s="9">
        <f t="shared" si="1"/>
        <v>95</v>
      </c>
      <c r="B96" s="1">
        <v>1.22000973E8</v>
      </c>
      <c r="C96" s="9" t="str">
        <f>VLOOKUP(B96,students!$B$2:$I$197,2,0)</f>
        <v>22CT113</v>
      </c>
      <c r="D96" s="9" t="str">
        <f>VLOOKUP(B96,students!$B$2:$I$197,3,0)</f>
        <v>Phạm Trần Anh</v>
      </c>
      <c r="E96" s="9" t="str">
        <f>VLOOKUP(B96,students!$B$2:$I$197,4,0)</f>
        <v>Tú</v>
      </c>
      <c r="F96" s="15">
        <f>VLOOKUP(B96,students!$B$2:$I$197,7,0)</f>
        <v>923390094</v>
      </c>
      <c r="G96" s="9" t="str">
        <f>if(ISNA(VLOOKUP(B96,F_DangKiGiaoVien!$C$2:$Q999,2,0)),"Chưa ĐK","Đã ĐK")</f>
        <v>Đã ĐK</v>
      </c>
      <c r="H96" s="9" t="str">
        <f>if(ISNA(VLOOKUP(B96,F_DangKiGiaoVien!$C$2:$Q999,5,0)),"",VLOOKUP(B96,F_DangKiGiaoVien!$C$2:$Q999,5,0))</f>
        <v>Thực hiện đồ án tốt nghiệp</v>
      </c>
      <c r="I96" s="9" t="str">
        <f>if(ISNA(VLOOKUP(B96,F_DangKiGiaoVien!$C$2:$Q999,2,0)),"",VLOOKUP(B96,F_DangKiGiaoVien!$C$2:$Q999,6,0))</f>
        <v>Phan Thiện Phước</v>
      </c>
      <c r="J96" s="1" t="s">
        <v>392</v>
      </c>
      <c r="K96" s="9" t="str">
        <f>if(ISNA(VLOOKUP(B96,F_DangKiGiaoVien!$C$2:$Q999,2,0)),"",VLOOKUP(B96,F_DangKiGiaoVien!$C$2:$Q999,8,0))</f>
        <v>Hệ thống học tập thông minh với API GEMINI </v>
      </c>
    </row>
    <row r="97">
      <c r="A97" s="9">
        <f t="shared" si="1"/>
        <v>96</v>
      </c>
      <c r="B97" s="1">
        <v>1.22001039E8</v>
      </c>
      <c r="C97" s="9" t="str">
        <f>VLOOKUP(B97,students!$B$2:$I$197,2,0)</f>
        <v>22CT113</v>
      </c>
      <c r="D97" s="9" t="str">
        <f>VLOOKUP(B97,students!$B$2:$I$197,3,0)</f>
        <v>Võ Ngọc</v>
      </c>
      <c r="E97" s="9" t="str">
        <f>VLOOKUP(B97,students!$B$2:$I$197,4,0)</f>
        <v>Hòa</v>
      </c>
      <c r="F97" s="15">
        <f>VLOOKUP(B97,students!$B$2:$I$197,7,0)</f>
        <v>327504298</v>
      </c>
      <c r="G97" s="9" t="str">
        <f>if(ISNA(VLOOKUP(B97,F_DangKiGiaoVien!$C$2:$Q999,2,0)),"Chưa ĐK","Đã ĐK")</f>
        <v>Đã ĐK</v>
      </c>
      <c r="H97" s="9" t="str">
        <f>if(ISNA(VLOOKUP(B97,F_DangKiGiaoVien!$C$2:$Q999,5,0)),"",VLOOKUP(B97,F_DangKiGiaoVien!$C$2:$Q999,5,0))</f>
        <v>Thực hiện đồ án tốt nghiệp</v>
      </c>
      <c r="I97" s="9" t="str">
        <f>if(ISNA(VLOOKUP(B97,F_DangKiGiaoVien!$C$2:$Q999,2,0)),"",VLOOKUP(B97,F_DangKiGiaoVien!$C$2:$Q999,6,0))</f>
        <v>Phan Mạnh Thường</v>
      </c>
      <c r="J97" s="1" t="s">
        <v>392</v>
      </c>
      <c r="K97" s="9" t="str">
        <f>if(ISNA(VLOOKUP(B97,F_DangKiGiaoVien!$C$2:$Q999,2,0)),"",VLOOKUP(B97,F_DangKiGiaoVien!$C$2:$Q999,8,0))</f>
        <v>Nhận diện sâu hại trên lá câu trồng</v>
      </c>
    </row>
    <row r="98">
      <c r="A98" s="9">
        <f t="shared" si="1"/>
        <v>97</v>
      </c>
      <c r="B98" s="1">
        <v>1.22001042E8</v>
      </c>
      <c r="C98" s="9" t="str">
        <f>VLOOKUP(B98,students!$B$2:$I$197,2,0)</f>
        <v>22CT113</v>
      </c>
      <c r="D98" s="9" t="str">
        <f>VLOOKUP(B98,students!$B$2:$I$197,3,0)</f>
        <v>Trương Trung</v>
      </c>
      <c r="E98" s="9" t="str">
        <f>VLOOKUP(B98,students!$B$2:$I$197,4,0)</f>
        <v>Tín</v>
      </c>
      <c r="F98" s="15">
        <f>VLOOKUP(B98,students!$B$2:$I$197,7,0)</f>
        <v>866684277</v>
      </c>
      <c r="G98" s="9" t="str">
        <f>if(ISNA(VLOOKUP(B98,F_DangKiGiaoVien!$C$2:$Q999,2,0)),"Chưa ĐK","Đã ĐK")</f>
        <v>Đã ĐK</v>
      </c>
      <c r="H98" s="9" t="str">
        <f>if(ISNA(VLOOKUP(B98,F_DangKiGiaoVien!$C$2:$Q999,5,0)),"",VLOOKUP(B98,F_DangKiGiaoVien!$C$2:$Q999,5,0))</f>
        <v>Thực hiện đồ án tốt nghiệp</v>
      </c>
      <c r="I98" s="9" t="str">
        <f>if(ISNA(VLOOKUP(B98,F_DangKiGiaoVien!$C$2:$Q999,2,0)),"",VLOOKUP(B98,F_DangKiGiaoVien!$C$2:$Q999,6,0))</f>
        <v>Đoàn Thiện Minh</v>
      </c>
      <c r="J98" s="1" t="s">
        <v>392</v>
      </c>
      <c r="K98" s="9" t="str">
        <f>if(ISNA(VLOOKUP(B98,F_DangKiGiaoVien!$C$2:$Q999,2,0)),"",VLOOKUP(B98,F_DangKiGiaoVien!$C$2:$Q999,8,0))</f>
        <v>Xây dựng ứng dụng phát hiện và phân loại Deepfake trên video. </v>
      </c>
    </row>
    <row r="99">
      <c r="A99" s="9">
        <f t="shared" si="1"/>
        <v>98</v>
      </c>
      <c r="B99" s="1">
        <v>1.22001061E8</v>
      </c>
      <c r="C99" s="9" t="str">
        <f>VLOOKUP(B99,students!$B$2:$I$197,2,0)</f>
        <v>22CT113</v>
      </c>
      <c r="D99" s="9" t="str">
        <f>VLOOKUP(B99,students!$B$2:$I$197,3,0)</f>
        <v>Phùng Mạnh</v>
      </c>
      <c r="E99" s="9" t="str">
        <f>VLOOKUP(B99,students!$B$2:$I$197,4,0)</f>
        <v>Dũng</v>
      </c>
      <c r="F99" s="15">
        <f>VLOOKUP(B99,students!$B$2:$I$197,7,0)</f>
        <v>349106174</v>
      </c>
      <c r="G99" s="9" t="str">
        <f>if(ISNA(VLOOKUP(B99,F_DangKiGiaoVien!$C$2:$Q999,2,0)),"Chưa ĐK","Đã ĐK")</f>
        <v>Đã ĐK</v>
      </c>
      <c r="H99" s="9" t="str">
        <f>if(ISNA(VLOOKUP(B99,F_DangKiGiaoVien!$C$2:$Q999,5,0)),"",VLOOKUP(B99,F_DangKiGiaoVien!$C$2:$Q999,5,0))</f>
        <v>Thực hiện đồ án tốt nghiệp</v>
      </c>
      <c r="I99" s="9" t="str">
        <f>if(ISNA(VLOOKUP(B99,F_DangKiGiaoVien!$C$2:$Q999,2,0)),"",VLOOKUP(B99,F_DangKiGiaoVien!$C$2:$Q999,6,0))</f>
        <v>Nguyễn Minh Sơn</v>
      </c>
      <c r="J99" s="1" t="s">
        <v>392</v>
      </c>
      <c r="K99" s="9" t="str">
        <f>if(ISNA(VLOOKUP(B99,F_DangKiGiaoVien!$C$2:$Q999,2,0)),"",VLOOKUP(B99,F_DangKiGiaoVien!$C$2:$Q999,8,0))</f>
        <v>ỨNG DỤNG AI  TẠO MÔ TẢ SẢN Phẩm TỰ ĐỘNG CHO CÁC SÀN THƯƠNG MẠI ĐIỆN TỬ</v>
      </c>
    </row>
    <row r="100">
      <c r="A100" s="9">
        <f t="shared" si="1"/>
        <v>99</v>
      </c>
      <c r="B100" s="1">
        <v>1.22001087E8</v>
      </c>
      <c r="C100" s="9" t="str">
        <f>VLOOKUP(B100,students!$B$2:$I$197,2,0)</f>
        <v>22CT113</v>
      </c>
      <c r="D100" s="9" t="str">
        <f>VLOOKUP(B100,students!$B$2:$I$197,3,0)</f>
        <v>Bùi Hữu</v>
      </c>
      <c r="E100" s="9" t="str">
        <f>VLOOKUP(B100,students!$B$2:$I$197,4,0)</f>
        <v>Thắng</v>
      </c>
      <c r="F100" s="15">
        <f>VLOOKUP(B100,students!$B$2:$I$197,7,0)</f>
        <v>823583538</v>
      </c>
      <c r="G100" s="9" t="str">
        <f>if(ISNA(VLOOKUP(B100,F_DangKiGiaoVien!$C$2:$Q999,2,0)),"Chưa ĐK","Đã ĐK")</f>
        <v>Đã ĐK</v>
      </c>
      <c r="H100" s="9" t="str">
        <f>if(ISNA(VLOOKUP(B100,F_DangKiGiaoVien!$C$2:$Q999,5,0)),"",VLOOKUP(B100,F_DangKiGiaoVien!$C$2:$Q999,5,0))</f>
        <v>Thực hiện đồ án tốt nghiệp</v>
      </c>
      <c r="I100" s="9" t="str">
        <f>if(ISNA(VLOOKUP(B100,F_DangKiGiaoVien!$C$2:$Q999,2,0)),"",VLOOKUP(B100,F_DangKiGiaoVien!$C$2:$Q999,6,0))</f>
        <v>Nguyễn Minh Phúc</v>
      </c>
      <c r="J100" s="1" t="s">
        <v>392</v>
      </c>
      <c r="K100" s="9" t="str">
        <f>if(ISNA(VLOOKUP(B100,F_DangKiGiaoVien!$C$2:$Q999,2,0)),"",VLOOKUP(B100,F_DangKiGiaoVien!$C$2:$Q999,8,0))</f>
        <v>Phân tích tương tác sinh viên với LMS để phát hiện nguy cơ học kém</v>
      </c>
    </row>
    <row r="101">
      <c r="A101" s="9">
        <f t="shared" si="1"/>
        <v>100</v>
      </c>
      <c r="B101" s="1">
        <v>1.22001109E8</v>
      </c>
      <c r="C101" s="9" t="str">
        <f>VLOOKUP(B101,students!$B$2:$I$197,2,0)</f>
        <v>22CT113</v>
      </c>
      <c r="D101" s="9" t="str">
        <f>VLOOKUP(B101,students!$B$2:$I$197,3,0)</f>
        <v>Đỗ Viết Anh</v>
      </c>
      <c r="E101" s="9" t="str">
        <f>VLOOKUP(B101,students!$B$2:$I$197,4,0)</f>
        <v>Tuấn</v>
      </c>
      <c r="F101" s="15">
        <f>VLOOKUP(B101,students!$B$2:$I$197,7,0)</f>
        <v>974648943</v>
      </c>
      <c r="G101" s="9" t="str">
        <f>if(ISNA(VLOOKUP(B101,F_DangKiGiaoVien!$C$2:$Q999,2,0)),"Chưa ĐK","Đã ĐK")</f>
        <v>Đã ĐK</v>
      </c>
      <c r="H101" s="9" t="str">
        <f>if(ISNA(VLOOKUP(B101,F_DangKiGiaoVien!$C$2:$Q999,5,0)),"",VLOOKUP(B101,F_DangKiGiaoVien!$C$2:$Q999,5,0))</f>
        <v>Thực hiện đồ án tốt nghiệp</v>
      </c>
      <c r="I101" s="9" t="str">
        <f>if(ISNA(VLOOKUP(B101,F_DangKiGiaoVien!$C$2:$Q999,2,0)),"",VLOOKUP(B101,F_DangKiGiaoVien!$C$2:$Q999,6,0))</f>
        <v>Nguyễn Vũ Thiên Phúc</v>
      </c>
      <c r="J101" s="1" t="s">
        <v>392</v>
      </c>
      <c r="K101" s="9" t="str">
        <f>if(ISNA(VLOOKUP(B101,F_DangKiGiaoVien!$C$2:$Q999,2,0)),"",VLOOKUP(B101,F_DangKiGiaoVien!$C$2:$Q999,8,0))</f>
        <v>Liêt kê và đề xuất phương án ngăn chặn tấn công của Mysql (8.0)</v>
      </c>
    </row>
    <row r="102">
      <c r="A102" s="9">
        <f t="shared" si="1"/>
        <v>101</v>
      </c>
      <c r="B102" s="1">
        <v>1.22001117E8</v>
      </c>
      <c r="C102" s="9" t="str">
        <f>VLOOKUP(B102,students!$B$2:$I$197,2,0)</f>
        <v>22CT113</v>
      </c>
      <c r="D102" s="9" t="str">
        <f>VLOOKUP(B102,students!$B$2:$I$197,3,0)</f>
        <v>Nguyễn Văn</v>
      </c>
      <c r="E102" s="9" t="str">
        <f>VLOOKUP(B102,students!$B$2:$I$197,4,0)</f>
        <v>Nam</v>
      </c>
      <c r="F102" s="15">
        <f>VLOOKUP(B102,students!$B$2:$I$197,7,0)</f>
        <v>967443090</v>
      </c>
      <c r="G102" s="9" t="str">
        <f>if(ISNA(VLOOKUP(B102,F_DangKiGiaoVien!$C$2:$Q999,2,0)),"Chưa ĐK","Đã ĐK")</f>
        <v>Đã ĐK</v>
      </c>
      <c r="H102" s="9" t="str">
        <f>if(ISNA(VLOOKUP(B102,F_DangKiGiaoVien!$C$2:$Q999,5,0)),"",VLOOKUP(B102,F_DangKiGiaoVien!$C$2:$Q999,5,0))</f>
        <v>Thực hiện đồ án tốt nghiệp</v>
      </c>
      <c r="I102" s="9" t="str">
        <f>if(ISNA(VLOOKUP(B102,F_DangKiGiaoVien!$C$2:$Q999,2,0)),"",VLOOKUP(B102,F_DangKiGiaoVien!$C$2:$Q999,6,0))</f>
        <v>Phan Thị Hường</v>
      </c>
      <c r="J102" s="1" t="s">
        <v>392</v>
      </c>
      <c r="K102" s="9" t="str">
        <f>if(ISNA(VLOOKUP(B102,F_DangKiGiaoVien!$C$2:$Q999,2,0)),"",VLOOKUP(B102,F_DangKiGiaoVien!$C$2:$Q999,8,0))</f>
        <v>Xây dựng kênh truyền thông số về giải pháp AI trên nền tảng TikTok</v>
      </c>
    </row>
    <row r="103">
      <c r="A103" s="9">
        <f t="shared" si="1"/>
        <v>102</v>
      </c>
      <c r="B103" s="1">
        <v>1.22001155E8</v>
      </c>
      <c r="C103" s="9" t="str">
        <f>VLOOKUP(B103,students!$B$2:$I$197,2,0)</f>
        <v>22CT113</v>
      </c>
      <c r="D103" s="9" t="str">
        <f>VLOOKUP(B103,students!$B$2:$I$197,3,0)</f>
        <v>Đinh Ngọc Quang</v>
      </c>
      <c r="E103" s="9" t="str">
        <f>VLOOKUP(B103,students!$B$2:$I$197,4,0)</f>
        <v>Huy</v>
      </c>
      <c r="F103" s="15">
        <f>VLOOKUP(B103,students!$B$2:$I$197,7,0)</f>
        <v>855025924</v>
      </c>
      <c r="G103" s="9" t="str">
        <f>if(ISNA(VLOOKUP(B103,F_DangKiGiaoVien!$C$2:$Q999,2,0)),"Chưa ĐK","Đã ĐK")</f>
        <v>Đã ĐK</v>
      </c>
      <c r="H103" s="9" t="str">
        <f>if(ISNA(VLOOKUP(B103,F_DangKiGiaoVien!$C$2:$Q999,5,0)),"",VLOOKUP(B103,F_DangKiGiaoVien!$C$2:$Q999,5,0))</f>
        <v>Thực hiện đồ án tốt nghiệp</v>
      </c>
      <c r="I103" s="9" t="str">
        <f>if(ISNA(VLOOKUP(B103,F_DangKiGiaoVien!$C$2:$Q999,2,0)),"",VLOOKUP(B103,F_DangKiGiaoVien!$C$2:$Q999,6,0))</f>
        <v>Phan Mạnh Thường</v>
      </c>
      <c r="J103" s="1" t="s">
        <v>392</v>
      </c>
      <c r="K103" s="9" t="str">
        <f>if(ISNA(VLOOKUP(B103,F_DangKiGiaoVien!$C$2:$Q999,2,0)),"",VLOOKUP(B103,F_DangKiGiaoVien!$C$2:$Q999,8,0))</f>
        <v>Xây dựng ứng dụng di động phân loại chất lượng sầu riêng Thái dựa trên hình dáng và độ chín.</v>
      </c>
    </row>
    <row r="104">
      <c r="A104" s="9">
        <f t="shared" si="1"/>
        <v>103</v>
      </c>
      <c r="B104" s="1">
        <v>1.22001179E8</v>
      </c>
      <c r="C104" s="9" t="str">
        <f>VLOOKUP(B104,students!$B$2:$I$197,2,0)</f>
        <v>22CT113</v>
      </c>
      <c r="D104" s="9" t="str">
        <f>VLOOKUP(B104,students!$B$2:$I$197,3,0)</f>
        <v>Đỗ Xuân</v>
      </c>
      <c r="E104" s="9" t="str">
        <f>VLOOKUP(B104,students!$B$2:$I$197,4,0)</f>
        <v>Hạnh</v>
      </c>
      <c r="F104" s="15">
        <f>VLOOKUP(B104,students!$B$2:$I$197,7,0)</f>
        <v>898685947</v>
      </c>
      <c r="G104" s="9" t="str">
        <f>if(ISNA(VLOOKUP(B104,F_DangKiGiaoVien!$C$2:$Q999,2,0)),"Chưa ĐK","Đã ĐK")</f>
        <v>Đã ĐK</v>
      </c>
      <c r="H104" s="9" t="str">
        <f>if(ISNA(VLOOKUP(B104,F_DangKiGiaoVien!$C$2:$Q999,5,0)),"",VLOOKUP(B104,F_DangKiGiaoVien!$C$2:$Q999,5,0))</f>
        <v>Thực hiện đồ án tốt nghiệp</v>
      </c>
      <c r="I104" s="9" t="str">
        <f>if(ISNA(VLOOKUP(B104,F_DangKiGiaoVien!$C$2:$Q999,2,0)),"",VLOOKUP(B104,F_DangKiGiaoVien!$C$2:$Q999,6,0))</f>
        <v>Bùi Thị Thu Trang</v>
      </c>
      <c r="J104" s="1" t="s">
        <v>392</v>
      </c>
      <c r="K104" s="9" t="str">
        <f>if(ISNA(VLOOKUP(B104,F_DangKiGiaoVien!$C$2:$Q999,2,0)),"",VLOOKUP(B104,F_DangKiGiaoVien!$C$2:$Q999,8,0))</f>
        <v>Phát hiện lỗi bề mặt bằng mạng cnn( ốc vít)</v>
      </c>
    </row>
    <row r="105">
      <c r="A105" s="9">
        <f t="shared" si="1"/>
        <v>104</v>
      </c>
      <c r="B105" s="1">
        <v>1.22001249E8</v>
      </c>
      <c r="C105" s="9" t="str">
        <f>VLOOKUP(B105,students!$B$2:$I$197,2,0)</f>
        <v>22CT113</v>
      </c>
      <c r="D105" s="9" t="str">
        <f>VLOOKUP(B105,students!$B$2:$I$197,3,0)</f>
        <v>Phạm Hoàng</v>
      </c>
      <c r="E105" s="9" t="str">
        <f>VLOOKUP(B105,students!$B$2:$I$197,4,0)</f>
        <v>Thiện</v>
      </c>
      <c r="F105" s="15">
        <f>VLOOKUP(B105,students!$B$2:$I$197,7,0)</f>
        <v>396566706</v>
      </c>
      <c r="G105" s="9" t="str">
        <f>if(ISNA(VLOOKUP(B105,F_DangKiGiaoVien!$C$2:$Q999,2,0)),"Chưa ĐK","Đã ĐK")</f>
        <v>Đã ĐK</v>
      </c>
      <c r="H105" s="9" t="str">
        <f>if(ISNA(VLOOKUP(B105,F_DangKiGiaoVien!$C$2:$Q999,5,0)),"",VLOOKUP(B105,F_DangKiGiaoVien!$C$2:$Q999,5,0))</f>
        <v>Đặc cách tốt nghiệp</v>
      </c>
      <c r="I105" s="9" t="str">
        <f>if(ISNA(VLOOKUP(B105,F_DangKiGiaoVien!$C$2:$Q999,2,0)),"",VLOOKUP(B105,F_DangKiGiaoVien!$C$2:$Q999,6,0))</f>
        <v>Đặc cách tốt nghiệp</v>
      </c>
      <c r="J105" s="9"/>
      <c r="K105" s="9" t="str">
        <f>if(ISNA(VLOOKUP(B105,F_DangKiGiaoVien!$C$2:$Q999,2,0)),"",VLOOKUP(B105,F_DangKiGiaoVien!$C$2:$Q999,8,0))</f>
        <v/>
      </c>
    </row>
    <row r="106">
      <c r="A106" s="9">
        <f t="shared" si="1"/>
        <v>105</v>
      </c>
      <c r="B106" s="1">
        <v>1.22001281E8</v>
      </c>
      <c r="C106" s="9" t="str">
        <f>VLOOKUP(B106,students!$B$2:$I$197,2,0)</f>
        <v>22CT113</v>
      </c>
      <c r="D106" s="9" t="str">
        <f>VLOOKUP(B106,students!$B$2:$I$197,3,0)</f>
        <v>Bùi Ngọc</v>
      </c>
      <c r="E106" s="9" t="str">
        <f>VLOOKUP(B106,students!$B$2:$I$197,4,0)</f>
        <v>Sơn</v>
      </c>
      <c r="F106" s="15">
        <f>VLOOKUP(B106,students!$B$2:$I$197,7,0)</f>
        <v>398032901</v>
      </c>
      <c r="G106" s="9" t="str">
        <f>if(ISNA(VLOOKUP(B106,F_DangKiGiaoVien!$C$2:$Q999,2,0)),"Chưa ĐK","Đã ĐK")</f>
        <v>Đã ĐK</v>
      </c>
      <c r="H106" s="9" t="str">
        <f>if(ISNA(VLOOKUP(B106,F_DangKiGiaoVien!$C$2:$Q999,5,0)),"",VLOOKUP(B106,F_DangKiGiaoVien!$C$2:$Q999,5,0))</f>
        <v>Thực hiện đồ án tốt nghiệp</v>
      </c>
      <c r="I106" s="9" t="str">
        <f>if(ISNA(VLOOKUP(B106,F_DangKiGiaoVien!$C$2:$Q999,2,0)),"",VLOOKUP(B106,F_DangKiGiaoVien!$C$2:$Q999,6,0))</f>
        <v>Nguyễn Minh Sơn</v>
      </c>
      <c r="J106" s="1" t="s">
        <v>392</v>
      </c>
      <c r="K106" s="9" t="str">
        <f>if(ISNA(VLOOKUP(B106,F_DangKiGiaoVien!$C$2:$Q999,2,0)),"",VLOOKUP(B106,F_DangKiGiaoVien!$C$2:$Q999,8,0))</f>
        <v>ỨNG DỤNG WEB TỰ ĐỘNG TẠO CÂU HỎI TRẮC NGHIỆM TỪ TÀI LIỆU </v>
      </c>
    </row>
    <row r="107">
      <c r="A107" s="9">
        <f t="shared" si="1"/>
        <v>106</v>
      </c>
      <c r="B107" s="1">
        <v>1.22001295E8</v>
      </c>
      <c r="C107" s="9" t="str">
        <f>VLOOKUP(B107,students!$B$2:$I$197,2,0)</f>
        <v>22CT113</v>
      </c>
      <c r="D107" s="9" t="str">
        <f>VLOOKUP(B107,students!$B$2:$I$197,3,0)</f>
        <v>Đỗ Lê Thành</v>
      </c>
      <c r="E107" s="9" t="str">
        <f>VLOOKUP(B107,students!$B$2:$I$197,4,0)</f>
        <v>Nhân</v>
      </c>
      <c r="F107" s="15">
        <f>VLOOKUP(B107,students!$B$2:$I$197,7,0)</f>
        <v>774563764</v>
      </c>
      <c r="G107" s="9" t="str">
        <f>if(ISNA(VLOOKUP(B107,F_DangKiGiaoVien!$C$2:$Q999,2,0)),"Chưa ĐK","Đã ĐK")</f>
        <v>Đã ĐK</v>
      </c>
      <c r="H107" s="9" t="str">
        <f>if(ISNA(VLOOKUP(B107,F_DangKiGiaoVien!$C$2:$Q999,5,0)),"",VLOOKUP(B107,F_DangKiGiaoVien!$C$2:$Q999,5,0))</f>
        <v>Đặc cách tốt nghiệp</v>
      </c>
      <c r="I107" s="9" t="str">
        <f>if(ISNA(VLOOKUP(B107,F_DangKiGiaoVien!$C$2:$Q999,2,0)),"",VLOOKUP(B107,F_DangKiGiaoVien!$C$2:$Q999,6,0))</f>
        <v/>
      </c>
      <c r="J107" s="9"/>
      <c r="K107" s="9" t="str">
        <f>if(ISNA(VLOOKUP(B107,F_DangKiGiaoVien!$C$2:$Q999,2,0)),"",VLOOKUP(B107,F_DangKiGiaoVien!$C$2:$Q999,8,0))</f>
        <v/>
      </c>
    </row>
    <row r="108">
      <c r="A108" s="9">
        <f t="shared" si="1"/>
        <v>107</v>
      </c>
      <c r="B108" s="1">
        <v>1.21001164E8</v>
      </c>
      <c r="C108" s="9" t="str">
        <f>VLOOKUP(B108,students!$B$2:$I$197,2,0)</f>
        <v>22CT114</v>
      </c>
      <c r="D108" s="9" t="str">
        <f>VLOOKUP(B108,students!$B$2:$I$197,3,0)</f>
        <v>Nguyễn Thành</v>
      </c>
      <c r="E108" s="9" t="str">
        <f>VLOOKUP(B108,students!$B$2:$I$197,4,0)</f>
        <v>Trung</v>
      </c>
      <c r="F108" s="15">
        <f>VLOOKUP(B108,students!$B$2:$I$197,7,0)</f>
        <v>815339787</v>
      </c>
      <c r="G108" s="9" t="str">
        <f>if(ISNA(VLOOKUP(B108,F_DangKiGiaoVien!$C$2:$Q999,2,0)),"Chưa ĐK","Đã ĐK")</f>
        <v>Đã ĐK</v>
      </c>
      <c r="H108" s="9" t="str">
        <f>if(ISNA(VLOOKUP(B108,F_DangKiGiaoVien!$C$2:$Q999,5,0)),"",VLOOKUP(B108,F_DangKiGiaoVien!$C$2:$Q999,5,0))</f>
        <v>Thực hiện đồ án tốt nghiệp</v>
      </c>
      <c r="I108" s="9" t="str">
        <f>if(ISNA(VLOOKUP(B108,F_DangKiGiaoVien!$C$2:$Q999,2,0)),"",VLOOKUP(B108,F_DangKiGiaoVien!$C$2:$Q999,6,0))</f>
        <v>Phan Mạnh Thường</v>
      </c>
      <c r="J108" s="1" t="s">
        <v>392</v>
      </c>
      <c r="K108" s="9" t="str">
        <f>if(ISNA(VLOOKUP(B108,F_DangKiGiaoVien!$C$2:$Q999,2,0)),"",VLOOKUP(B108,F_DangKiGiaoVien!$C$2:$Q999,8,0))</f>
        <v>Tạo Giọng Nói Nhân Bản (Voice Cloning)</v>
      </c>
    </row>
    <row r="109">
      <c r="A109" s="9">
        <f t="shared" si="1"/>
        <v>108</v>
      </c>
      <c r="B109" s="1">
        <v>1.21001309E8</v>
      </c>
      <c r="C109" s="9" t="str">
        <f>VLOOKUP(B109,students!$B$2:$I$197,2,0)</f>
        <v>22CT114</v>
      </c>
      <c r="D109" s="9" t="str">
        <f>VLOOKUP(B109,students!$B$2:$I$197,3,0)</f>
        <v>Hà Lê Gia</v>
      </c>
      <c r="E109" s="9" t="str">
        <f>VLOOKUP(B109,students!$B$2:$I$197,4,0)</f>
        <v>Bảo</v>
      </c>
      <c r="F109" s="15">
        <f>VLOOKUP(B109,students!$B$2:$I$197,7,0)</f>
        <v>373272354</v>
      </c>
      <c r="G109" s="9" t="str">
        <f>if(ISNA(VLOOKUP(B109,F_DangKiGiaoVien!$C$2:$Q999,2,0)),"Chưa ĐK","Đã ĐK")</f>
        <v>Chưa ĐK</v>
      </c>
      <c r="H109" s="9" t="str">
        <f>if(ISNA(VLOOKUP(B109,F_DangKiGiaoVien!$C$2:$Q999,5,0)),"",VLOOKUP(B109,F_DangKiGiaoVien!$C$2:$Q999,5,0))</f>
        <v/>
      </c>
      <c r="I109" s="9" t="str">
        <f>if(ISNA(VLOOKUP(B109,F_DangKiGiaoVien!$C$2:$Q999,2,0)),"",VLOOKUP(B109,F_DangKiGiaoVien!$C$2:$Q999,6,0))</f>
        <v/>
      </c>
      <c r="J109" s="9"/>
      <c r="K109" s="9" t="str">
        <f>if(ISNA(VLOOKUP(B109,F_DangKiGiaoVien!$C$2:$Q999,2,0)),"",VLOOKUP(B109,F_DangKiGiaoVien!$C$2:$Q999,8,0))</f>
        <v/>
      </c>
    </row>
    <row r="110">
      <c r="A110" s="9">
        <f t="shared" si="1"/>
        <v>109</v>
      </c>
      <c r="B110" s="1">
        <v>1.22000082E8</v>
      </c>
      <c r="C110" s="9" t="str">
        <f>VLOOKUP(B110,students!$B$2:$I$197,2,0)</f>
        <v>22CT114</v>
      </c>
      <c r="D110" s="9" t="str">
        <f>VLOOKUP(B110,students!$B$2:$I$197,3,0)</f>
        <v>Nguyễn Hoàng</v>
      </c>
      <c r="E110" s="9" t="str">
        <f>VLOOKUP(B110,students!$B$2:$I$197,4,0)</f>
        <v>Huy</v>
      </c>
      <c r="F110" s="15">
        <f>VLOOKUP(B110,students!$B$2:$I$197,7,0)</f>
        <v>394272844</v>
      </c>
      <c r="G110" s="9" t="str">
        <f>if(ISNA(VLOOKUP(B110,F_DangKiGiaoVien!$C$2:$Q999,2,0)),"Chưa ĐK","Đã ĐK")</f>
        <v>Đã ĐK</v>
      </c>
      <c r="H110" s="9" t="str">
        <f>if(ISNA(VLOOKUP(B110,F_DangKiGiaoVien!$C$2:$Q999,5,0)),"",VLOOKUP(B110,F_DangKiGiaoVien!$C$2:$Q999,5,0))</f>
        <v>Thực hiện đồ án tốt nghiệp</v>
      </c>
      <c r="I110" s="9" t="str">
        <f>if(ISNA(VLOOKUP(B110,F_DangKiGiaoVien!$C$2:$Q999,2,0)),"",VLOOKUP(B110,F_DangKiGiaoVien!$C$2:$Q999,6,0))</f>
        <v>Bùi Thị Thu Trang</v>
      </c>
      <c r="J110" s="1" t="s">
        <v>392</v>
      </c>
      <c r="K110" s="9" t="str">
        <f>if(ISNA(VLOOKUP(B110,F_DangKiGiaoVien!$C$2:$Q999,2,0)),"",VLOOKUP(B110,F_DangKiGiaoVien!$C$2:$Q999,8,0))</f>
        <v>GIẢI PHÁP GỢI Ý SẢN PHẨM BÁN HÀNG THÔNG MINH</v>
      </c>
    </row>
    <row r="111">
      <c r="A111" s="9">
        <f t="shared" si="1"/>
        <v>110</v>
      </c>
      <c r="B111" s="1">
        <v>1.22000102E8</v>
      </c>
      <c r="C111" s="9" t="str">
        <f>VLOOKUP(B111,students!$B$2:$I$197,2,0)</f>
        <v>22CT114</v>
      </c>
      <c r="D111" s="9" t="str">
        <f>VLOOKUP(B111,students!$B$2:$I$197,3,0)</f>
        <v>Nguyễn Cao Đức</v>
      </c>
      <c r="E111" s="9" t="str">
        <f>VLOOKUP(B111,students!$B$2:$I$197,4,0)</f>
        <v>Bình</v>
      </c>
      <c r="F111" s="15">
        <f>VLOOKUP(B111,students!$B$2:$I$197,7,0)</f>
        <v>868403107</v>
      </c>
      <c r="G111" s="9" t="str">
        <f>if(ISNA(VLOOKUP(B111,F_DangKiGiaoVien!$C$2:$Q999,2,0)),"Chưa ĐK","Đã ĐK")</f>
        <v>Đã ĐK</v>
      </c>
      <c r="H111" s="9" t="str">
        <f>if(ISNA(VLOOKUP(B111,F_DangKiGiaoVien!$C$2:$Q999,5,0)),"",VLOOKUP(B111,F_DangKiGiaoVien!$C$2:$Q999,5,0))</f>
        <v>Thực hiện đồ án tốt nghiệp</v>
      </c>
      <c r="I111" s="9" t="str">
        <f>if(ISNA(VLOOKUP(B111,F_DangKiGiaoVien!$C$2:$Q999,2,0)),"",VLOOKUP(B111,F_DangKiGiaoVien!$C$2:$Q999,6,0))</f>
        <v>Hoàng Sỹ Hùng</v>
      </c>
      <c r="J111" s="1" t="s">
        <v>392</v>
      </c>
      <c r="K111" s="9" t="str">
        <f>if(ISNA(VLOOKUP(B111,F_DangKiGiaoVien!$C$2:$Q999,2,0)),"",VLOOKUP(B111,F_DangKiGiaoVien!$C$2:$Q999,8,0))</f>
        <v>Hệ thống đặt món và quản lý quy trình nhà hàng</v>
      </c>
    </row>
    <row r="112">
      <c r="A112" s="9">
        <f t="shared" si="1"/>
        <v>111</v>
      </c>
      <c r="B112" s="1">
        <v>1.22000223E8</v>
      </c>
      <c r="C112" s="9" t="str">
        <f>VLOOKUP(B112,students!$B$2:$I$197,2,0)</f>
        <v>22CT114</v>
      </c>
      <c r="D112" s="9" t="str">
        <f>VLOOKUP(B112,students!$B$2:$I$197,3,0)</f>
        <v>Đinh Huỳnh Hữu</v>
      </c>
      <c r="E112" s="9" t="str">
        <f>VLOOKUP(B112,students!$B$2:$I$197,4,0)</f>
        <v>Phước</v>
      </c>
      <c r="F112" s="15">
        <f>VLOOKUP(B112,students!$B$2:$I$197,7,0)</f>
        <v>332311604</v>
      </c>
      <c r="G112" s="9" t="str">
        <f>if(ISNA(VLOOKUP(B112,F_DangKiGiaoVien!$C$2:$Q999,2,0)),"Chưa ĐK","Đã ĐK")</f>
        <v>Đã ĐK</v>
      </c>
      <c r="H112" s="9" t="str">
        <f>if(ISNA(VLOOKUP(B112,F_DangKiGiaoVien!$C$2:$Q999,5,0)),"",VLOOKUP(B112,F_DangKiGiaoVien!$C$2:$Q999,5,0))</f>
        <v>Thực hiện đồ án tốt nghiệp</v>
      </c>
      <c r="I112" s="9" t="str">
        <f>if(ISNA(VLOOKUP(B112,F_DangKiGiaoVien!$C$2:$Q999,2,0)),"",VLOOKUP(B112,F_DangKiGiaoVien!$C$2:$Q999,6,0))</f>
        <v>Phan Thiện Phước</v>
      </c>
      <c r="J112" s="1" t="s">
        <v>392</v>
      </c>
      <c r="K112" s="9" t="str">
        <f>if(ISNA(VLOOKUP(B112,F_DangKiGiaoVien!$C$2:$Q999,2,0)),"",VLOOKUP(B112,F_DangKiGiaoVien!$C$2:$Q999,8,0))</f>
        <v>Hệ Thống gợi ý cho ngoại thất căn nhà</v>
      </c>
    </row>
    <row r="113">
      <c r="A113" s="9">
        <f t="shared" si="1"/>
        <v>112</v>
      </c>
      <c r="B113" s="1">
        <v>1.2200024E8</v>
      </c>
      <c r="C113" s="9" t="str">
        <f>VLOOKUP(B113,students!$B$2:$I$197,2,0)</f>
        <v>22CT114</v>
      </c>
      <c r="D113" s="9" t="str">
        <f>VLOOKUP(B113,students!$B$2:$I$197,3,0)</f>
        <v>Võ Thành</v>
      </c>
      <c r="E113" s="9" t="str">
        <f>VLOOKUP(B113,students!$B$2:$I$197,4,0)</f>
        <v>Phát</v>
      </c>
      <c r="F113" s="15">
        <f>VLOOKUP(B113,students!$B$2:$I$197,7,0)</f>
        <v>334644788</v>
      </c>
      <c r="G113" s="9" t="str">
        <f>if(ISNA(VLOOKUP(B113,F_DangKiGiaoVien!$C$2:$Q999,2,0)),"Chưa ĐK","Đã ĐK")</f>
        <v>Chưa ĐK</v>
      </c>
      <c r="H113" s="9" t="str">
        <f>if(ISNA(VLOOKUP(B113,F_DangKiGiaoVien!$C$2:$Q999,5,0)),"",VLOOKUP(B113,F_DangKiGiaoVien!$C$2:$Q999,5,0))</f>
        <v/>
      </c>
      <c r="I113" s="9" t="str">
        <f>if(ISNA(VLOOKUP(B113,F_DangKiGiaoVien!$C$2:$Q999,2,0)),"",VLOOKUP(B113,F_DangKiGiaoVien!$C$2:$Q999,6,0))</f>
        <v/>
      </c>
      <c r="J113" s="9"/>
      <c r="K113" s="9" t="str">
        <f>if(ISNA(VLOOKUP(B113,F_DangKiGiaoVien!$C$2:$Q999,2,0)),"",VLOOKUP(B113,F_DangKiGiaoVien!$C$2:$Q999,8,0))</f>
        <v/>
      </c>
    </row>
    <row r="114">
      <c r="A114" s="9">
        <f t="shared" si="1"/>
        <v>113</v>
      </c>
      <c r="B114" s="1">
        <v>1.22000269E8</v>
      </c>
      <c r="C114" s="9" t="str">
        <f>VLOOKUP(B114,students!$B$2:$I$197,2,0)</f>
        <v>22CT114</v>
      </c>
      <c r="D114" s="9" t="str">
        <f>VLOOKUP(B114,students!$B$2:$I$197,3,0)</f>
        <v>Trần Thế</v>
      </c>
      <c r="E114" s="9" t="str">
        <f>VLOOKUP(B114,students!$B$2:$I$197,4,0)</f>
        <v>An</v>
      </c>
      <c r="F114" s="15">
        <f>VLOOKUP(B114,students!$B$2:$I$197,7,0)</f>
        <v>355627106</v>
      </c>
      <c r="G114" s="9" t="str">
        <f>if(ISNA(VLOOKUP(B114,F_DangKiGiaoVien!$C$2:$Q999,2,0)),"Chưa ĐK","Đã ĐK")</f>
        <v>Đã ĐK</v>
      </c>
      <c r="H114" s="9" t="str">
        <f>if(ISNA(VLOOKUP(B114,F_DangKiGiaoVien!$C$2:$Q999,5,0)),"",VLOOKUP(B114,F_DangKiGiaoVien!$C$2:$Q999,5,0))</f>
        <v>Thực hiện đồ án tốt nghiệp</v>
      </c>
      <c r="I114" s="9" t="str">
        <f>if(ISNA(VLOOKUP(B114,F_DangKiGiaoVien!$C$2:$Q999,2,0)),"",VLOOKUP(B114,F_DangKiGiaoVien!$C$2:$Q999,6,0))</f>
        <v>Bùi Xuân Cảnh</v>
      </c>
      <c r="J114" s="1" t="s">
        <v>392</v>
      </c>
      <c r="K114" s="9" t="str">
        <f>if(ISNA(VLOOKUP(B114,F_DangKiGiaoVien!$C$2:$Q999,2,0)),"",VLOOKUP(B114,F_DangKiGiaoVien!$C$2:$Q999,8,0))</f>
        <v>Quản lý kho</v>
      </c>
    </row>
    <row r="115">
      <c r="A115" s="9">
        <f t="shared" si="1"/>
        <v>114</v>
      </c>
      <c r="B115" s="1">
        <v>1.22000282E8</v>
      </c>
      <c r="C115" s="9" t="str">
        <f>VLOOKUP(B115,students!$B$2:$I$197,2,0)</f>
        <v>22CT114</v>
      </c>
      <c r="D115" s="9" t="str">
        <f>VLOOKUP(B115,students!$B$2:$I$197,3,0)</f>
        <v>Quách Đình</v>
      </c>
      <c r="E115" s="9" t="str">
        <f>VLOOKUP(B115,students!$B$2:$I$197,4,0)</f>
        <v>Thái</v>
      </c>
      <c r="F115" s="15">
        <f>VLOOKUP(B115,students!$B$2:$I$197,7,0)</f>
        <v>866891746</v>
      </c>
      <c r="G115" s="9" t="str">
        <f>if(ISNA(VLOOKUP(B115,F_DangKiGiaoVien!$C$2:$Q999,2,0)),"Chưa ĐK","Đã ĐK")</f>
        <v>Chưa ĐK</v>
      </c>
      <c r="H115" s="9" t="str">
        <f>if(ISNA(VLOOKUP(B115,F_DangKiGiaoVien!$C$2:$Q999,5,0)),"",VLOOKUP(B115,F_DangKiGiaoVien!$C$2:$Q999,5,0))</f>
        <v/>
      </c>
      <c r="I115" s="9" t="str">
        <f>if(ISNA(VLOOKUP(B115,F_DangKiGiaoVien!$C$2:$Q999,2,0)),"",VLOOKUP(B115,F_DangKiGiaoVien!$C$2:$Q999,6,0))</f>
        <v/>
      </c>
      <c r="J115" s="9"/>
      <c r="K115" s="9" t="str">
        <f>if(ISNA(VLOOKUP(B115,F_DangKiGiaoVien!$C$2:$Q999,2,0)),"",VLOOKUP(B115,F_DangKiGiaoVien!$C$2:$Q999,8,0))</f>
        <v/>
      </c>
    </row>
    <row r="116">
      <c r="A116" s="9">
        <f t="shared" si="1"/>
        <v>115</v>
      </c>
      <c r="B116" s="1">
        <v>1.22000292E8</v>
      </c>
      <c r="C116" s="9" t="str">
        <f>VLOOKUP(B116,students!$B$2:$I$197,2,0)</f>
        <v>22CT114</v>
      </c>
      <c r="D116" s="9" t="str">
        <f>VLOOKUP(B116,students!$B$2:$I$197,3,0)</f>
        <v>Trương Thị Hải</v>
      </c>
      <c r="E116" s="9" t="str">
        <f>VLOOKUP(B116,students!$B$2:$I$197,4,0)</f>
        <v>Yến</v>
      </c>
      <c r="F116" s="15">
        <f>VLOOKUP(B116,students!$B$2:$I$197,7,0)</f>
        <v>989752391</v>
      </c>
      <c r="G116" s="9" t="str">
        <f>if(ISNA(VLOOKUP(B116,F_DangKiGiaoVien!$C$2:$Q999,2,0)),"Chưa ĐK","Đã ĐK")</f>
        <v>Đã ĐK</v>
      </c>
      <c r="H116" s="9" t="str">
        <f>if(ISNA(VLOOKUP(B116,F_DangKiGiaoVien!$C$2:$Q999,5,0)),"",VLOOKUP(B116,F_DangKiGiaoVien!$C$2:$Q999,5,0))</f>
        <v>Thực hiện đồ án tốt nghiệp</v>
      </c>
      <c r="I116" s="9" t="str">
        <f>if(ISNA(VLOOKUP(B116,F_DangKiGiaoVien!$C$2:$Q999,2,0)),"",VLOOKUP(B116,F_DangKiGiaoVien!$C$2:$Q999,6,0))</f>
        <v>Bùi Xuân Cảnh</v>
      </c>
      <c r="J116" s="1" t="s">
        <v>392</v>
      </c>
      <c r="K116" s="9" t="str">
        <f>if(ISNA(VLOOKUP(B116,F_DangKiGiaoVien!$C$2:$Q999,2,0)),"",VLOOKUP(B116,F_DangKiGiaoVien!$C$2:$Q999,8,0))</f>
        <v>Ứng dụng hỗ trợ người bệnh </v>
      </c>
    </row>
    <row r="117">
      <c r="A117" s="9">
        <f t="shared" si="1"/>
        <v>116</v>
      </c>
      <c r="B117" s="1">
        <v>1.22000391E8</v>
      </c>
      <c r="C117" s="9" t="str">
        <f>VLOOKUP(B117,students!$B$2:$I$197,2,0)</f>
        <v>22CT114</v>
      </c>
      <c r="D117" s="9" t="str">
        <f>VLOOKUP(B117,students!$B$2:$I$197,3,0)</f>
        <v>Phạm Minh</v>
      </c>
      <c r="E117" s="9" t="str">
        <f>VLOOKUP(B117,students!$B$2:$I$197,4,0)</f>
        <v>Tuấn</v>
      </c>
      <c r="F117" s="15">
        <f>VLOOKUP(B117,students!$B$2:$I$197,7,0)</f>
        <v>988026131</v>
      </c>
      <c r="G117" s="9" t="str">
        <f>if(ISNA(VLOOKUP(B117,F_DangKiGiaoVien!$C$2:$Q999,2,0)),"Chưa ĐK","Đã ĐK")</f>
        <v>Đã ĐK</v>
      </c>
      <c r="H117" s="9" t="str">
        <f>if(ISNA(VLOOKUP(B117,F_DangKiGiaoVien!$C$2:$Q999,5,0)),"",VLOOKUP(B117,F_DangKiGiaoVien!$C$2:$Q999,5,0))</f>
        <v>Thực hiện đồ án tốt nghiệp</v>
      </c>
      <c r="I117" s="9" t="str">
        <f>if(ISNA(VLOOKUP(B117,F_DangKiGiaoVien!$C$2:$Q999,2,0)),"",VLOOKUP(B117,F_DangKiGiaoVien!$C$2:$Q999,6,0))</f>
        <v>Bùi Xuân Cảnh</v>
      </c>
      <c r="J117" s="1" t="s">
        <v>392</v>
      </c>
      <c r="K117" s="9" t="str">
        <f>if(ISNA(VLOOKUP(B117,F_DangKiGiaoVien!$C$2:$Q999,2,0)),"",VLOOKUP(B117,F_DangKiGiaoVien!$C$2:$Q999,8,0))</f>
        <v>Website bán máy Laptop,PC,điện thoại.</v>
      </c>
    </row>
    <row r="118">
      <c r="A118" s="9">
        <f t="shared" si="1"/>
        <v>117</v>
      </c>
      <c r="B118" s="1">
        <v>1.22000438E8</v>
      </c>
      <c r="C118" s="9" t="str">
        <f>VLOOKUP(B118,students!$B$2:$I$197,2,0)</f>
        <v>22CT114</v>
      </c>
      <c r="D118" s="9" t="str">
        <f>VLOOKUP(B118,students!$B$2:$I$197,3,0)</f>
        <v>Nguyễn Trương Hoàng</v>
      </c>
      <c r="E118" s="9" t="str">
        <f>VLOOKUP(B118,students!$B$2:$I$197,4,0)</f>
        <v>Khang</v>
      </c>
      <c r="F118" s="15">
        <f>VLOOKUP(B118,students!$B$2:$I$197,7,0)</f>
        <v>817276254</v>
      </c>
      <c r="G118" s="9" t="str">
        <f>if(ISNA(VLOOKUP(B118,F_DangKiGiaoVien!$C$2:$Q999,2,0)),"Chưa ĐK","Đã ĐK")</f>
        <v>Đã ĐK</v>
      </c>
      <c r="H118" s="9" t="str">
        <f>if(ISNA(VLOOKUP(B118,F_DangKiGiaoVien!$C$2:$Q999,5,0)),"",VLOOKUP(B118,F_DangKiGiaoVien!$C$2:$Q999,5,0))</f>
        <v>Thực hiện đồ án tốt nghiệp</v>
      </c>
      <c r="I118" s="9" t="str">
        <f>if(ISNA(VLOOKUP(B118,F_DangKiGiaoVien!$C$2:$Q999,2,0)),"",VLOOKUP(B118,F_DangKiGiaoVien!$C$2:$Q999,6,0))</f>
        <v>Bùi Xuân Cảnh</v>
      </c>
      <c r="J118" s="1" t="s">
        <v>392</v>
      </c>
      <c r="K118" s="9" t="str">
        <f>if(ISNA(VLOOKUP(B118,F_DangKiGiaoVien!$C$2:$Q999,2,0)),"",VLOOKUP(B118,F_DangKiGiaoVien!$C$2:$Q999,8,0))</f>
        <v>ỨNG DỤNG CHIA SẺ KINH NGHIỆM DU LỊCH</v>
      </c>
    </row>
    <row r="119" ht="18.0" customHeight="1">
      <c r="A119" s="9">
        <f t="shared" si="1"/>
        <v>118</v>
      </c>
      <c r="B119" s="1">
        <v>1.22000441E8</v>
      </c>
      <c r="C119" s="9" t="str">
        <f>VLOOKUP(B119,students!$B$2:$I$197,2,0)</f>
        <v>22CT114</v>
      </c>
      <c r="D119" s="9" t="str">
        <f>VLOOKUP(B119,students!$B$2:$I$197,3,0)</f>
        <v>Lương Văn</v>
      </c>
      <c r="E119" s="9" t="str">
        <f>VLOOKUP(B119,students!$B$2:$I$197,4,0)</f>
        <v>Thanh</v>
      </c>
      <c r="F119" s="15">
        <f>VLOOKUP(B119,students!$B$2:$I$197,7,0)</f>
        <v>373545572</v>
      </c>
      <c r="G119" s="9" t="str">
        <f>if(ISNA(VLOOKUP(B119,F_DangKiGiaoVien!$C$2:$Q999,2,0)),"Chưa ĐK","Đã ĐK")</f>
        <v>Đã ĐK</v>
      </c>
      <c r="H119" s="9" t="str">
        <f>if(ISNA(VLOOKUP(B119,F_DangKiGiaoVien!$C$2:$Q999,5,0)),"",VLOOKUP(B119,F_DangKiGiaoVien!$C$2:$Q999,5,0))</f>
        <v>Thực hiện đồ án tốt nghiệp</v>
      </c>
      <c r="I119" s="9" t="str">
        <f>if(ISNA(VLOOKUP(B119,F_DangKiGiaoVien!$C$2:$Q999,2,0)),"",VLOOKUP(B119,F_DangKiGiaoVien!$C$2:$Q999,6,0))</f>
        <v>Hoàng Sỹ Hùng</v>
      </c>
      <c r="J119" s="1" t="s">
        <v>392</v>
      </c>
      <c r="K119" s="9" t="str">
        <f>if(ISNA(VLOOKUP(B119,F_DangKiGiaoVien!$C$2:$Q999,2,0)),"",VLOOKUP(B119,F_DangKiGiaoVien!$C$2:$Q999,8,0))</f>
        <v>EventAI – Nền tảng quản lý sự kiện ứng dụng trí tuệ nhân tạo</v>
      </c>
    </row>
    <row r="120">
      <c r="A120" s="9">
        <f t="shared" si="1"/>
        <v>119</v>
      </c>
      <c r="B120" s="1">
        <v>1.22000456E8</v>
      </c>
      <c r="C120" s="9" t="str">
        <f>VLOOKUP(B120,students!$B$2:$I$197,2,0)</f>
        <v>22CT114</v>
      </c>
      <c r="D120" s="9" t="str">
        <f>VLOOKUP(B120,students!$B$2:$I$197,3,0)</f>
        <v>Nguyễn Quý Hoàng</v>
      </c>
      <c r="E120" s="9" t="str">
        <f>VLOOKUP(B120,students!$B$2:$I$197,4,0)</f>
        <v>Long</v>
      </c>
      <c r="F120" s="15">
        <f>VLOOKUP(B120,students!$B$2:$I$197,7,0)</f>
        <v>586641397</v>
      </c>
      <c r="G120" s="9" t="str">
        <f>if(ISNA(VLOOKUP(B120,F_DangKiGiaoVien!$C$2:$Q999,2,0)),"Chưa ĐK","Đã ĐK")</f>
        <v>Đã ĐK</v>
      </c>
      <c r="H120" s="9" t="str">
        <f>if(ISNA(VLOOKUP(B120,F_DangKiGiaoVien!$C$2:$Q999,5,0)),"",VLOOKUP(B120,F_DangKiGiaoVien!$C$2:$Q999,5,0))</f>
        <v>Thực hiện đồ án tốt nghiệp</v>
      </c>
      <c r="I120" s="9" t="str">
        <f>if(ISNA(VLOOKUP(B120,F_DangKiGiaoVien!$C$2:$Q999,2,0)),"",VLOOKUP(B120,F_DangKiGiaoVien!$C$2:$Q999,6,0))</f>
        <v>Bùi Xuân Cảnh</v>
      </c>
      <c r="J120" s="1" t="s">
        <v>392</v>
      </c>
      <c r="K120" s="9" t="str">
        <f>if(ISNA(VLOOKUP(B120,F_DangKiGiaoVien!$C$2:$Q999,2,0)),"",VLOOKUP(B120,F_DangKiGiaoVien!$C$2:$Q999,8,0))</f>
        <v>Ứng dụng gợi ý thực đơn ăn uống lành mạnh</v>
      </c>
    </row>
    <row r="121">
      <c r="A121" s="9">
        <f t="shared" si="1"/>
        <v>120</v>
      </c>
      <c r="B121" s="1">
        <v>1.2200046E8</v>
      </c>
      <c r="C121" s="9" t="str">
        <f>VLOOKUP(B121,students!$B$2:$I$197,2,0)</f>
        <v>22CT114</v>
      </c>
      <c r="D121" s="9" t="str">
        <f>VLOOKUP(B121,students!$B$2:$I$197,3,0)</f>
        <v>Trần Văn</v>
      </c>
      <c r="E121" s="9" t="str">
        <f>VLOOKUP(B121,students!$B$2:$I$197,4,0)</f>
        <v>Bình</v>
      </c>
      <c r="F121" s="15">
        <f>VLOOKUP(B121,students!$B$2:$I$197,7,0)</f>
        <v>334914712</v>
      </c>
      <c r="G121" s="9" t="str">
        <f>if(ISNA(VLOOKUP(B121,F_DangKiGiaoVien!$C$2:$Q999,2,0)),"Chưa ĐK","Đã ĐK")</f>
        <v>Đã ĐK</v>
      </c>
      <c r="H121" s="9" t="str">
        <f>if(ISNA(VLOOKUP(B121,F_DangKiGiaoVien!$C$2:$Q999,5,0)),"",VLOOKUP(B121,F_DangKiGiaoVien!$C$2:$Q999,5,0))</f>
        <v>Thực hiện đồ án tốt nghiệp</v>
      </c>
      <c r="I121" s="9" t="str">
        <f>if(ISNA(VLOOKUP(B121,F_DangKiGiaoVien!$C$2:$Q999,2,0)),"",VLOOKUP(B121,F_DangKiGiaoVien!$C$2:$Q999,6,0))</f>
        <v>Bùi Xuân Cảnh</v>
      </c>
      <c r="J121" s="1" t="s">
        <v>392</v>
      </c>
      <c r="K121" s="9" t="str">
        <f>if(ISNA(VLOOKUP(B121,F_DangKiGiaoVien!$C$2:$Q999,2,0)),"",VLOOKUP(B121,F_DangKiGiaoVien!$C$2:$Q999,8,0))</f>
        <v>Ứng Dụng Kết Nối Người Bán Hàng Nhỏ Lẻ</v>
      </c>
    </row>
    <row r="122">
      <c r="A122" s="9">
        <f t="shared" si="1"/>
        <v>121</v>
      </c>
      <c r="B122" s="1">
        <v>1.22000476E8</v>
      </c>
      <c r="C122" s="9" t="str">
        <f>VLOOKUP(B122,students!$B$2:$I$197,2,0)</f>
        <v>22CT114</v>
      </c>
      <c r="D122" s="9" t="str">
        <f>VLOOKUP(B122,students!$B$2:$I$197,3,0)</f>
        <v>Nguyễn Đăng Thanh</v>
      </c>
      <c r="E122" s="9" t="str">
        <f>VLOOKUP(B122,students!$B$2:$I$197,4,0)</f>
        <v>Nhã</v>
      </c>
      <c r="F122" s="15">
        <f>VLOOKUP(B122,students!$B$2:$I$197,7,0)</f>
        <v>948509556</v>
      </c>
      <c r="G122" s="9" t="str">
        <f>if(ISNA(VLOOKUP(B122,F_DangKiGiaoVien!$C$2:$Q999,2,0)),"Chưa ĐK","Đã ĐK")</f>
        <v>Đã ĐK</v>
      </c>
      <c r="H122" s="9" t="str">
        <f>if(ISNA(VLOOKUP(B122,F_DangKiGiaoVien!$C$2:$Q999,5,0)),"",VLOOKUP(B122,F_DangKiGiaoVien!$C$2:$Q999,5,0))</f>
        <v>Thực hiện đồ án tốt nghiệp</v>
      </c>
      <c r="I122" s="9" t="str">
        <f>if(ISNA(VLOOKUP(B122,F_DangKiGiaoVien!$C$2:$Q999,2,0)),"",VLOOKUP(B122,F_DangKiGiaoVien!$C$2:$Q999,6,0))</f>
        <v>Bùi Xuân Cảnh</v>
      </c>
      <c r="J122" s="1" t="s">
        <v>392</v>
      </c>
      <c r="K122" s="9" t="str">
        <f>if(ISNA(VLOOKUP(B122,F_DangKiGiaoVien!$C$2:$Q999,2,0)),"",VLOOKUP(B122,F_DangKiGiaoVien!$C$2:$Q999,8,0))</f>
        <v>Web quản lý tài chính và gợi ý tiết kiệm</v>
      </c>
    </row>
    <row r="123">
      <c r="A123" s="9">
        <f t="shared" si="1"/>
        <v>122</v>
      </c>
      <c r="B123" s="1">
        <v>1.22000544E8</v>
      </c>
      <c r="C123" s="9" t="str">
        <f>VLOOKUP(B123,students!$B$2:$I$197,2,0)</f>
        <v>22CT114</v>
      </c>
      <c r="D123" s="9" t="str">
        <f>VLOOKUP(B123,students!$B$2:$I$197,3,0)</f>
        <v>Dương Phước</v>
      </c>
      <c r="E123" s="9" t="str">
        <f>VLOOKUP(B123,students!$B$2:$I$197,4,0)</f>
        <v>Hiệp</v>
      </c>
      <c r="F123" s="15">
        <f>VLOOKUP(B123,students!$B$2:$I$197,7,0)</f>
        <v>334919074</v>
      </c>
      <c r="G123" s="9" t="str">
        <f>if(ISNA(VLOOKUP(B123,F_DangKiGiaoVien!$C$2:$Q999,2,0)),"Chưa ĐK","Đã ĐK")</f>
        <v>Chưa ĐK</v>
      </c>
      <c r="H123" s="9" t="str">
        <f>if(ISNA(VLOOKUP(B123,F_DangKiGiaoVien!$C$2:$Q999,5,0)),"",VLOOKUP(B123,F_DangKiGiaoVien!$C$2:$Q999,5,0))</f>
        <v/>
      </c>
      <c r="I123" s="9" t="str">
        <f>if(ISNA(VLOOKUP(B123,F_DangKiGiaoVien!$C$2:$Q999,2,0)),"",VLOOKUP(B123,F_DangKiGiaoVien!$C$2:$Q999,6,0))</f>
        <v/>
      </c>
      <c r="J123" s="9"/>
      <c r="K123" s="9" t="str">
        <f>if(ISNA(VLOOKUP(B123,F_DangKiGiaoVien!$C$2:$Q999,2,0)),"",VLOOKUP(B123,F_DangKiGiaoVien!$C$2:$Q999,8,0))</f>
        <v/>
      </c>
    </row>
    <row r="124">
      <c r="A124" s="9">
        <f t="shared" si="1"/>
        <v>123</v>
      </c>
      <c r="B124" s="1">
        <v>1.22000549E8</v>
      </c>
      <c r="C124" s="9" t="str">
        <f>VLOOKUP(B124,students!$B$2:$I$197,2,0)</f>
        <v>22CT114</v>
      </c>
      <c r="D124" s="9" t="str">
        <f>VLOOKUP(B124,students!$B$2:$I$197,3,0)</f>
        <v>Huỳnh Tấn</v>
      </c>
      <c r="E124" s="9" t="str">
        <f>VLOOKUP(B124,students!$B$2:$I$197,4,0)</f>
        <v>Đức</v>
      </c>
      <c r="F124" s="15">
        <f>VLOOKUP(B124,students!$B$2:$I$197,7,0)</f>
        <v>344910369</v>
      </c>
      <c r="G124" s="9" t="str">
        <f>if(ISNA(VLOOKUP(B124,F_DangKiGiaoVien!$C$2:$Q999,2,0)),"Chưa ĐK","Đã ĐK")</f>
        <v>Đã ĐK</v>
      </c>
      <c r="H124" s="9" t="str">
        <f>if(ISNA(VLOOKUP(B124,F_DangKiGiaoVien!$C$2:$Q999,5,0)),"",VLOOKUP(B124,F_DangKiGiaoVien!$C$2:$Q999,5,0))</f>
        <v>Thực hiện đồ án tốt nghiệp</v>
      </c>
      <c r="I124" s="9" t="str">
        <f>if(ISNA(VLOOKUP(B124,F_DangKiGiaoVien!$C$2:$Q999,2,0)),"",VLOOKUP(B124,F_DangKiGiaoVien!$C$2:$Q999,6,0))</f>
        <v>Đoàn Thiện Minh</v>
      </c>
      <c r="J124" s="1" t="s">
        <v>392</v>
      </c>
      <c r="K124" s="9" t="str">
        <f>if(ISNA(VLOOKUP(B124,F_DangKiGiaoVien!$C$2:$Q999,2,0)),"",VLOOKUP(B124,F_DangKiGiaoVien!$C$2:$Q999,8,0))</f>
        <v>Phân loại trình độ sinh viên dựa trên điểm số và hành vi học tập</v>
      </c>
    </row>
    <row r="125">
      <c r="A125" s="9">
        <f t="shared" si="1"/>
        <v>124</v>
      </c>
      <c r="B125" s="1">
        <v>1.22000587E8</v>
      </c>
      <c r="C125" s="9" t="str">
        <f>VLOOKUP(B125,students!$B$2:$I$197,2,0)</f>
        <v>22CT114</v>
      </c>
      <c r="D125" s="9" t="str">
        <f>VLOOKUP(B125,students!$B$2:$I$197,3,0)</f>
        <v>Lê Hồng</v>
      </c>
      <c r="E125" s="9" t="str">
        <f>VLOOKUP(B125,students!$B$2:$I$197,4,0)</f>
        <v>Phúc</v>
      </c>
      <c r="F125" s="15">
        <f>VLOOKUP(B125,students!$B$2:$I$197,7,0)</f>
        <v>339842949</v>
      </c>
      <c r="G125" s="9" t="str">
        <f>if(ISNA(VLOOKUP(B125,F_DangKiGiaoVien!$C$2:$Q999,2,0)),"Chưa ĐK","Đã ĐK")</f>
        <v>Đã ĐK</v>
      </c>
      <c r="H125" s="9" t="str">
        <f>if(ISNA(VLOOKUP(B125,F_DangKiGiaoVien!$C$2:$Q999,5,0)),"",VLOOKUP(B125,F_DangKiGiaoVien!$C$2:$Q999,5,0))</f>
        <v>Thực hiện đồ án tốt nghiệp</v>
      </c>
      <c r="I125" s="9" t="str">
        <f>if(ISNA(VLOOKUP(B125,F_DangKiGiaoVien!$C$2:$Q999,2,0)),"",VLOOKUP(B125,F_DangKiGiaoVien!$C$2:$Q999,6,0))</f>
        <v>Bùi Xuân Cảnh</v>
      </c>
      <c r="J125" s="1" t="s">
        <v>392</v>
      </c>
      <c r="K125" s="9" t="str">
        <f>if(ISNA(VLOOKUP(B125,F_DangKiGiaoVien!$C$2:$Q999,2,0)),"",VLOOKUP(B125,F_DangKiGiaoVien!$C$2:$Q999,8,0))</f>
        <v>ứng dụng hỗ trợ người bệnh</v>
      </c>
    </row>
    <row r="126">
      <c r="A126" s="9">
        <f t="shared" si="1"/>
        <v>125</v>
      </c>
      <c r="B126" s="1">
        <v>1.22000648E8</v>
      </c>
      <c r="C126" s="9" t="str">
        <f>VLOOKUP(B126,students!$B$2:$I$197,2,0)</f>
        <v>22CT114</v>
      </c>
      <c r="D126" s="9" t="str">
        <f>VLOOKUP(B126,students!$B$2:$I$197,3,0)</f>
        <v>Trần Tuyết</v>
      </c>
      <c r="E126" s="9" t="str">
        <f>VLOOKUP(B126,students!$B$2:$I$197,4,0)</f>
        <v>Nhung</v>
      </c>
      <c r="F126" s="15">
        <f>VLOOKUP(B126,students!$B$2:$I$197,7,0)</f>
        <v>908843193</v>
      </c>
      <c r="G126" s="9" t="str">
        <f>if(ISNA(VLOOKUP(B126,F_DangKiGiaoVien!$C$2:$Q999,2,0)),"Chưa ĐK","Đã ĐK")</f>
        <v>Đã ĐK</v>
      </c>
      <c r="H126" s="9" t="str">
        <f>if(ISNA(VLOOKUP(B126,F_DangKiGiaoVien!$C$2:$Q999,5,0)),"",VLOOKUP(B126,F_DangKiGiaoVien!$C$2:$Q999,5,0))</f>
        <v>Thực hiện đồ án tốt nghiệp</v>
      </c>
      <c r="I126" s="9" t="str">
        <f>if(ISNA(VLOOKUP(B126,F_DangKiGiaoVien!$C$2:$Q999,2,0)),"",VLOOKUP(B126,F_DangKiGiaoVien!$C$2:$Q999,6,0))</f>
        <v>Phan Thiện Phước</v>
      </c>
      <c r="J126" s="1" t="s">
        <v>392</v>
      </c>
      <c r="K126" s="9" t="str">
        <f>if(ISNA(VLOOKUP(B126,F_DangKiGiaoVien!$C$2:$Q999,2,0)),"",VLOOKUP(B126,F_DangKiGiaoVien!$C$2:$Q999,8,0))</f>
        <v>Hệ thống học tập thông minh với API GEMINI</v>
      </c>
    </row>
    <row r="127">
      <c r="A127" s="9">
        <f t="shared" si="1"/>
        <v>126</v>
      </c>
      <c r="B127" s="1">
        <v>1.22000705E8</v>
      </c>
      <c r="C127" s="9" t="str">
        <f>VLOOKUP(B127,students!$B$2:$I$197,2,0)</f>
        <v>22CT114</v>
      </c>
      <c r="D127" s="9" t="str">
        <f>VLOOKUP(B127,students!$B$2:$I$197,3,0)</f>
        <v>Nguyễn Hữu</v>
      </c>
      <c r="E127" s="9" t="str">
        <f>VLOOKUP(B127,students!$B$2:$I$197,4,0)</f>
        <v>Phúc</v>
      </c>
      <c r="F127" s="15">
        <f>VLOOKUP(B127,students!$B$2:$I$197,7,0)</f>
        <v>869794753</v>
      </c>
      <c r="G127" s="9" t="str">
        <f>if(ISNA(VLOOKUP(B127,F_DangKiGiaoVien!$C$2:$Q999,2,0)),"Chưa ĐK","Đã ĐK")</f>
        <v>Đã ĐK</v>
      </c>
      <c r="H127" s="9" t="str">
        <f>if(ISNA(VLOOKUP(B127,F_DangKiGiaoVien!$C$2:$Q999,5,0)),"",VLOOKUP(B127,F_DangKiGiaoVien!$C$2:$Q999,5,0))</f>
        <v>Thực hiện đồ án tốt nghiệp</v>
      </c>
      <c r="I127" s="9" t="str">
        <f>if(ISNA(VLOOKUP(B127,F_DangKiGiaoVien!$C$2:$Q999,2,0)),"",VLOOKUP(B127,F_DangKiGiaoVien!$C$2:$Q999,6,0))</f>
        <v>Bùi Thị Thu Trang</v>
      </c>
      <c r="J127" s="1" t="s">
        <v>392</v>
      </c>
      <c r="K127" s="9" t="str">
        <f>if(ISNA(VLOOKUP(B127,F_DangKiGiaoVien!$C$2:$Q999,2,0)),"",VLOOKUP(B127,F_DangKiGiaoVien!$C$2:$Q999,8,0))</f>
        <v>Phân loại trình độ sinh viên dựa trên điểm số và hành vi học tập</v>
      </c>
    </row>
    <row r="128">
      <c r="A128" s="9">
        <f t="shared" si="1"/>
        <v>127</v>
      </c>
      <c r="B128" s="1">
        <v>1.22000708E8</v>
      </c>
      <c r="C128" s="9" t="str">
        <f>VLOOKUP(B128,students!$B$2:$I$197,2,0)</f>
        <v>22CT114</v>
      </c>
      <c r="D128" s="9" t="str">
        <f>VLOOKUP(B128,students!$B$2:$I$197,3,0)</f>
        <v>Nguyễn Văn Đức</v>
      </c>
      <c r="E128" s="9" t="str">
        <f>VLOOKUP(B128,students!$B$2:$I$197,4,0)</f>
        <v>Trọng</v>
      </c>
      <c r="F128" s="15">
        <f>VLOOKUP(B128,students!$B$2:$I$197,7,0)</f>
        <v>966074150</v>
      </c>
      <c r="G128" s="9" t="str">
        <f>if(ISNA(VLOOKUP(B128,F_DangKiGiaoVien!$C$2:$Q999,2,0)),"Chưa ĐK","Đã ĐK")</f>
        <v>Đã ĐK</v>
      </c>
      <c r="H128" s="9" t="str">
        <f>if(ISNA(VLOOKUP(B128,F_DangKiGiaoVien!$C$2:$Q999,5,0)),"",VLOOKUP(B128,F_DangKiGiaoVien!$C$2:$Q999,5,0))</f>
        <v>Thực hiện đồ án tốt nghiệp</v>
      </c>
      <c r="I128" s="9" t="str">
        <f>if(ISNA(VLOOKUP(B128,F_DangKiGiaoVien!$C$2:$Q999,2,0)),"",VLOOKUP(B128,F_DangKiGiaoVien!$C$2:$Q999,6,0))</f>
        <v>Hoàng Sỹ Hùng</v>
      </c>
      <c r="J128" s="1" t="s">
        <v>392</v>
      </c>
      <c r="K128" s="9" t="str">
        <f>if(ISNA(VLOOKUP(B128,F_DangKiGiaoVien!$C$2:$Q999,2,0)),"",VLOOKUP(B128,F_DangKiGiaoVien!$C$2:$Q999,8,0))</f>
        <v>Food AI For Gym Members</v>
      </c>
    </row>
    <row r="129">
      <c r="A129" s="9">
        <f t="shared" si="1"/>
        <v>128</v>
      </c>
      <c r="B129" s="1">
        <v>1.22000752E8</v>
      </c>
      <c r="C129" s="9" t="str">
        <f>VLOOKUP(B129,students!$B$2:$I$197,2,0)</f>
        <v>22CT114</v>
      </c>
      <c r="D129" s="9" t="str">
        <f>VLOOKUP(B129,students!$B$2:$I$197,3,0)</f>
        <v>Nguyễn Tùng</v>
      </c>
      <c r="E129" s="9" t="str">
        <f>VLOOKUP(B129,students!$B$2:$I$197,4,0)</f>
        <v>Lân</v>
      </c>
      <c r="F129" s="15">
        <f>VLOOKUP(B129,students!$B$2:$I$197,7,0)</f>
        <v>946793138</v>
      </c>
      <c r="G129" s="9" t="str">
        <f>if(ISNA(VLOOKUP(B129,F_DangKiGiaoVien!$C$2:$Q999,2,0)),"Chưa ĐK","Đã ĐK")</f>
        <v>Đã ĐK</v>
      </c>
      <c r="H129" s="9" t="str">
        <f>if(ISNA(VLOOKUP(B129,F_DangKiGiaoVien!$C$2:$Q999,5,0)),"",VLOOKUP(B129,F_DangKiGiaoVien!$C$2:$Q999,5,0))</f>
        <v>Thực hiện đồ án tốt nghiệp</v>
      </c>
      <c r="I129" s="9" t="str">
        <f>if(ISNA(VLOOKUP(B129,F_DangKiGiaoVien!$C$2:$Q999,2,0)),"",VLOOKUP(B129,F_DangKiGiaoVien!$C$2:$Q999,6,0))</f>
        <v>Hoàng Sỹ Hùng</v>
      </c>
      <c r="J129" s="1" t="s">
        <v>392</v>
      </c>
      <c r="K129" s="9" t="str">
        <f>if(ISNA(VLOOKUP(B129,F_DangKiGiaoVien!$C$2:$Q999,2,0)),"",VLOOKUP(B129,F_DangKiGiaoVien!$C$2:$Q999,8,0))</f>
        <v>Hệ thống đặt món và quản lý quy trình nhà hàng</v>
      </c>
    </row>
    <row r="130">
      <c r="A130" s="9">
        <f t="shared" si="1"/>
        <v>129</v>
      </c>
      <c r="B130" s="1">
        <v>1.22000776E8</v>
      </c>
      <c r="C130" s="9" t="str">
        <f>VLOOKUP(B130,students!$B$2:$I$197,2,0)</f>
        <v>22CT114</v>
      </c>
      <c r="D130" s="9" t="str">
        <f>VLOOKUP(B130,students!$B$2:$I$197,3,0)</f>
        <v>Trần Tuấn</v>
      </c>
      <c r="E130" s="9" t="str">
        <f>VLOOKUP(B130,students!$B$2:$I$197,4,0)</f>
        <v>Lương</v>
      </c>
      <c r="F130" s="15">
        <f>VLOOKUP(B130,students!$B$2:$I$197,7,0)</f>
        <v>394417270</v>
      </c>
      <c r="G130" s="9" t="str">
        <f>if(ISNA(VLOOKUP(B130,F_DangKiGiaoVien!$C$2:$Q999,2,0)),"Chưa ĐK","Đã ĐK")</f>
        <v>Đã ĐK</v>
      </c>
      <c r="H130" s="9" t="str">
        <f>if(ISNA(VLOOKUP(B130,F_DangKiGiaoVien!$C$2:$Q999,5,0)),"",VLOOKUP(B130,F_DangKiGiaoVien!$C$2:$Q999,5,0))</f>
        <v>Thực hiện đồ án tốt nghiệp</v>
      </c>
      <c r="I130" s="9" t="str">
        <f>if(ISNA(VLOOKUP(B130,F_DangKiGiaoVien!$C$2:$Q999,2,0)),"",VLOOKUP(B130,F_DangKiGiaoVien!$C$2:$Q999,6,0))</f>
        <v>Bùi Xuân Cảnh</v>
      </c>
      <c r="J130" s="1" t="s">
        <v>392</v>
      </c>
      <c r="K130" s="9" t="str">
        <f>if(ISNA(VLOOKUP(B130,F_DangKiGiaoVien!$C$2:$Q999,2,0)),"",VLOOKUP(B130,F_DangKiGiaoVien!$C$2:$Q999,8,0))</f>
        <v>Website bán quần áo</v>
      </c>
    </row>
    <row r="131">
      <c r="A131" s="9">
        <f t="shared" si="1"/>
        <v>130</v>
      </c>
      <c r="B131" s="1">
        <v>1.22000829E8</v>
      </c>
      <c r="C131" s="9" t="str">
        <f>VLOOKUP(B131,students!$B$2:$I$197,2,0)</f>
        <v>22CT114</v>
      </c>
      <c r="D131" s="9" t="str">
        <f>VLOOKUP(B131,students!$B$2:$I$197,3,0)</f>
        <v>Trịnh Huỳnh Thừa</v>
      </c>
      <c r="E131" s="9" t="str">
        <f>VLOOKUP(B131,students!$B$2:$I$197,4,0)</f>
        <v>Khang</v>
      </c>
      <c r="F131" s="15">
        <f>VLOOKUP(B131,students!$B$2:$I$197,7,0)</f>
        <v>339508749</v>
      </c>
      <c r="G131" s="9" t="str">
        <f>if(ISNA(VLOOKUP(B131,F_DangKiGiaoVien!$C$2:$Q999,2,0)),"Chưa ĐK","Đã ĐK")</f>
        <v>Đã ĐK</v>
      </c>
      <c r="H131" s="9" t="str">
        <f>if(ISNA(VLOOKUP(B131,F_DangKiGiaoVien!$C$2:$Q999,5,0)),"",VLOOKUP(B131,F_DangKiGiaoVien!$C$2:$Q999,5,0))</f>
        <v>Thực hiện đồ án tốt nghiệp</v>
      </c>
      <c r="I131" s="9" t="str">
        <f>if(ISNA(VLOOKUP(B131,F_DangKiGiaoVien!$C$2:$Q999,2,0)),"",VLOOKUP(B131,F_DangKiGiaoVien!$C$2:$Q999,6,0))</f>
        <v>Bùi Xuân Cảnh</v>
      </c>
      <c r="J131" s="1" t="s">
        <v>392</v>
      </c>
      <c r="K131" s="9" t="str">
        <f>if(ISNA(VLOOKUP(B131,F_DangKiGiaoVien!$C$2:$Q999,2,0)),"",VLOOKUP(B131,F_DangKiGiaoVien!$C$2:$Q999,8,0))</f>
        <v>Ứng dụng kết nối người bán hàng nhỏ lẻ</v>
      </c>
    </row>
    <row r="132">
      <c r="A132" s="9">
        <f t="shared" si="1"/>
        <v>131</v>
      </c>
      <c r="B132" s="1">
        <v>1.22001002E8</v>
      </c>
      <c r="C132" s="9" t="str">
        <f>VLOOKUP(B132,students!$B$2:$I$197,2,0)</f>
        <v>22CT114</v>
      </c>
      <c r="D132" s="9" t="str">
        <f>VLOOKUP(B132,students!$B$2:$I$197,3,0)</f>
        <v>Nguyễn Phong</v>
      </c>
      <c r="E132" s="9" t="str">
        <f>VLOOKUP(B132,students!$B$2:$I$197,4,0)</f>
        <v>Thịnh</v>
      </c>
      <c r="F132" s="15">
        <f>VLOOKUP(B132,students!$B$2:$I$197,7,0)</f>
        <v>766626061</v>
      </c>
      <c r="G132" s="9" t="str">
        <f>if(ISNA(VLOOKUP(B132,F_DangKiGiaoVien!$C$2:$Q999,2,0)),"Chưa ĐK","Đã ĐK")</f>
        <v>Đã ĐK</v>
      </c>
      <c r="H132" s="9" t="str">
        <f>if(ISNA(VLOOKUP(B132,F_DangKiGiaoVien!$C$2:$Q999,5,0)),"",VLOOKUP(B132,F_DangKiGiaoVien!$C$2:$Q999,5,0))</f>
        <v>Thực hiện đồ án tốt nghiệp</v>
      </c>
      <c r="I132" s="9" t="str">
        <f>if(ISNA(VLOOKUP(B132,F_DangKiGiaoVien!$C$2:$Q999,2,0)),"",VLOOKUP(B132,F_DangKiGiaoVien!$C$2:$Q999,6,0))</f>
        <v>Phan Thiện Phước</v>
      </c>
      <c r="J132" s="1" t="s">
        <v>392</v>
      </c>
      <c r="K132" s="9" t="str">
        <f>if(ISNA(VLOOKUP(B132,F_DangKiGiaoVien!$C$2:$Q999,2,0)),"",VLOOKUP(B132,F_DangKiGiaoVien!$C$2:$Q999,8,0))</f>
        <v>Gợi ý ngoại thất cho căn nhà</v>
      </c>
    </row>
    <row r="133">
      <c r="A133" s="9">
        <f t="shared" si="1"/>
        <v>132</v>
      </c>
      <c r="B133" s="1">
        <v>1.22001005E8</v>
      </c>
      <c r="C133" s="9" t="str">
        <f>VLOOKUP(B133,students!$B$2:$I$197,2,0)</f>
        <v>22CT114</v>
      </c>
      <c r="D133" s="9" t="str">
        <f>VLOOKUP(B133,students!$B$2:$I$197,3,0)</f>
        <v>Đinh Tâm</v>
      </c>
      <c r="E133" s="9" t="str">
        <f>VLOOKUP(B133,students!$B$2:$I$197,4,0)</f>
        <v>Thảo</v>
      </c>
      <c r="F133" s="15">
        <f>VLOOKUP(B133,students!$B$2:$I$197,7,0)</f>
        <v>364860796</v>
      </c>
      <c r="G133" s="9" t="str">
        <f>if(ISNA(VLOOKUP(B133,F_DangKiGiaoVien!$C$2:$Q999,2,0)),"Chưa ĐK","Đã ĐK")</f>
        <v>Đã ĐK</v>
      </c>
      <c r="H133" s="9" t="str">
        <f>if(ISNA(VLOOKUP(B133,F_DangKiGiaoVien!$C$2:$Q999,5,0)),"",VLOOKUP(B133,F_DangKiGiaoVien!$C$2:$Q999,5,0))</f>
        <v>Thực hiện đồ án tốt nghiệp</v>
      </c>
      <c r="I133" s="9" t="str">
        <f>if(ISNA(VLOOKUP(B133,F_DangKiGiaoVien!$C$2:$Q999,2,0)),"",VLOOKUP(B133,F_DangKiGiaoVien!$C$2:$Q999,6,0))</f>
        <v>Phan Thiện Phước</v>
      </c>
      <c r="J133" s="1" t="s">
        <v>392</v>
      </c>
      <c r="K133" s="9" t="str">
        <f>if(ISNA(VLOOKUP(B133,F_DangKiGiaoVien!$C$2:$Q999,2,0)),"",VLOOKUP(B133,F_DangKiGiaoVien!$C$2:$Q999,8,0))</f>
        <v>Hệ thống học tập thông minh với API GEMINI </v>
      </c>
    </row>
    <row r="134">
      <c r="A134" s="9">
        <f t="shared" si="1"/>
        <v>133</v>
      </c>
      <c r="B134" s="1">
        <v>1.22001047E8</v>
      </c>
      <c r="C134" s="9" t="str">
        <f>VLOOKUP(B134,students!$B$2:$I$197,2,0)</f>
        <v>22CT114</v>
      </c>
      <c r="D134" s="9" t="str">
        <f>VLOOKUP(B134,students!$B$2:$I$197,3,0)</f>
        <v>Chu Hoàng</v>
      </c>
      <c r="E134" s="9" t="str">
        <f>VLOOKUP(B134,students!$B$2:$I$197,4,0)</f>
        <v>Long</v>
      </c>
      <c r="F134" s="15">
        <f>VLOOKUP(B134,students!$B$2:$I$197,7,0)</f>
        <v>392837450</v>
      </c>
      <c r="G134" s="9" t="str">
        <f>if(ISNA(VLOOKUP(B134,F_DangKiGiaoVien!$C$2:$Q999,2,0)),"Chưa ĐK","Đã ĐK")</f>
        <v>Đã ĐK</v>
      </c>
      <c r="H134" s="9" t="str">
        <f>if(ISNA(VLOOKUP(B134,F_DangKiGiaoVien!$C$2:$Q999,5,0)),"",VLOOKUP(B134,F_DangKiGiaoVien!$C$2:$Q999,5,0))</f>
        <v>Thực hiện đồ án tốt nghiệp</v>
      </c>
      <c r="I134" s="9" t="str">
        <f>if(ISNA(VLOOKUP(B134,F_DangKiGiaoVien!$C$2:$Q999,2,0)),"",VLOOKUP(B134,F_DangKiGiaoVien!$C$2:$Q999,6,0))</f>
        <v>Phan Thiện Phước</v>
      </c>
      <c r="J134" s="1" t="s">
        <v>392</v>
      </c>
      <c r="K134" s="9" t="str">
        <f>if(ISNA(VLOOKUP(B134,F_DangKiGiaoVien!$C$2:$Q999,2,0)),"",VLOOKUP(B134,F_DangKiGiaoVien!$C$2:$Q999,8,0))</f>
        <v>Hệ thống học tập thông minh với API GEMINI</v>
      </c>
    </row>
    <row r="135">
      <c r="A135" s="9">
        <f t="shared" si="1"/>
        <v>134</v>
      </c>
      <c r="B135" s="1">
        <v>1.22001215E8</v>
      </c>
      <c r="C135" s="9" t="str">
        <f>VLOOKUP(B135,students!$B$2:$I$197,2,0)</f>
        <v>22CT114</v>
      </c>
      <c r="D135" s="9" t="str">
        <f>VLOOKUP(B135,students!$B$2:$I$197,3,0)</f>
        <v>Phạm Tùng</v>
      </c>
      <c r="E135" s="9" t="str">
        <f>VLOOKUP(B135,students!$B$2:$I$197,4,0)</f>
        <v>Dương</v>
      </c>
      <c r="F135" s="15">
        <f>VLOOKUP(B135,students!$B$2:$I$197,7,0)</f>
        <v>367561739</v>
      </c>
      <c r="G135" s="9" t="str">
        <f>if(ISNA(VLOOKUP(B135,F_DangKiGiaoVien!$C$2:$Q999,2,0)),"Chưa ĐK","Đã ĐK")</f>
        <v>Đã ĐK</v>
      </c>
      <c r="H135" s="9" t="str">
        <f>if(ISNA(VLOOKUP(B135,F_DangKiGiaoVien!$C$2:$Q999,5,0)),"",VLOOKUP(B135,F_DangKiGiaoVien!$C$2:$Q999,5,0))</f>
        <v>Thực hiện đồ án tốt nghiệp</v>
      </c>
      <c r="I135" s="9" t="str">
        <f>if(ISNA(VLOOKUP(B135,F_DangKiGiaoVien!$C$2:$Q999,2,0)),"",VLOOKUP(B135,F_DangKiGiaoVien!$C$2:$Q999,6,0))</f>
        <v>Bùi Xuân Cảnh</v>
      </c>
      <c r="J135" s="1" t="s">
        <v>392</v>
      </c>
      <c r="K135" s="9" t="str">
        <f>if(ISNA(VLOOKUP(B135,F_DangKiGiaoVien!$C$2:$Q999,2,0)),"",VLOOKUP(B135,F_DangKiGiaoVien!$C$2:$Q999,8,0))</f>
        <v>Ứng dụng gợi ý thực đơn ăn uống lành mạnh</v>
      </c>
    </row>
    <row r="136">
      <c r="A136" s="9">
        <f t="shared" si="1"/>
        <v>135</v>
      </c>
      <c r="B136" s="1">
        <v>1.22001254E8</v>
      </c>
      <c r="C136" s="9" t="str">
        <f>VLOOKUP(B136,students!$B$2:$I$197,2,0)</f>
        <v>22CT114</v>
      </c>
      <c r="D136" s="9" t="str">
        <f>VLOOKUP(B136,students!$B$2:$I$197,3,0)</f>
        <v>Nguyễn Việt</v>
      </c>
      <c r="E136" s="9" t="str">
        <f>VLOOKUP(B136,students!$B$2:$I$197,4,0)</f>
        <v>Anh</v>
      </c>
      <c r="F136" s="15">
        <f>VLOOKUP(B136,students!$B$2:$I$197,7,0)</f>
        <v>962129753</v>
      </c>
      <c r="G136" s="9" t="str">
        <f>if(ISNA(VLOOKUP(B136,F_DangKiGiaoVien!$C$2:$Q999,2,0)),"Chưa ĐK","Đã ĐK")</f>
        <v>Đã ĐK</v>
      </c>
      <c r="H136" s="9" t="str">
        <f>if(ISNA(VLOOKUP(B136,F_DangKiGiaoVien!$C$2:$Q999,5,0)),"",VLOOKUP(B136,F_DangKiGiaoVien!$C$2:$Q999,5,0))</f>
        <v>Thực hiện đồ án tốt nghiệp</v>
      </c>
      <c r="I136" s="9" t="str">
        <f>if(ISNA(VLOOKUP(B136,F_DangKiGiaoVien!$C$2:$Q999,2,0)),"",VLOOKUP(B136,F_DangKiGiaoVien!$C$2:$Q999,6,0))</f>
        <v>Phan Mạnh Thường</v>
      </c>
      <c r="J136" s="1" t="s">
        <v>392</v>
      </c>
      <c r="K136" s="9" t="str">
        <f>if(ISNA(VLOOKUP(B136,F_DangKiGiaoVien!$C$2:$Q999,2,0)),"",VLOOKUP(B136,F_DangKiGiaoVien!$C$2:$Q999,8,0))</f>
        <v>Tạo Giọng Nói Nhân Bản (Voice Cloning)</v>
      </c>
    </row>
    <row r="137">
      <c r="A137" s="9">
        <f t="shared" si="1"/>
        <v>136</v>
      </c>
      <c r="B137" s="1">
        <v>1.22001286E8</v>
      </c>
      <c r="C137" s="9" t="str">
        <f>VLOOKUP(B137,students!$B$2:$I$197,2,0)</f>
        <v>22CT114</v>
      </c>
      <c r="D137" s="9" t="str">
        <f>VLOOKUP(B137,students!$B$2:$I$197,3,0)</f>
        <v>Trần Đình</v>
      </c>
      <c r="E137" s="9" t="str">
        <f>VLOOKUP(B137,students!$B$2:$I$197,4,0)</f>
        <v>Trường</v>
      </c>
      <c r="F137" s="15">
        <f>VLOOKUP(B137,students!$B$2:$I$197,7,0)</f>
        <v>766627747</v>
      </c>
      <c r="G137" s="9" t="str">
        <f>if(ISNA(VLOOKUP(B137,F_DangKiGiaoVien!$C$2:$Q999,2,0)),"Chưa ĐK","Đã ĐK")</f>
        <v>Đã ĐK</v>
      </c>
      <c r="H137" s="9" t="str">
        <f>if(ISNA(VLOOKUP(B137,F_DangKiGiaoVien!$C$2:$Q999,5,0)),"",VLOOKUP(B137,F_DangKiGiaoVien!$C$2:$Q999,5,0))</f>
        <v>Thực hiện đồ án tốt nghiệp</v>
      </c>
      <c r="I137" s="9" t="str">
        <f>if(ISNA(VLOOKUP(B137,F_DangKiGiaoVien!$C$2:$Q999,2,0)),"",VLOOKUP(B137,F_DangKiGiaoVien!$C$2:$Q999,6,0))</f>
        <v>Hoàng Sỹ Hùng</v>
      </c>
      <c r="J137" s="1" t="s">
        <v>392</v>
      </c>
      <c r="K137" s="9" t="str">
        <f>if(ISNA(VLOOKUP(B137,F_DangKiGiaoVien!$C$2:$Q999,2,0)),"",VLOOKUP(B137,F_DangKiGiaoVien!$C$2:$Q999,8,0))</f>
        <v>Xây dựng hệ thống tự động hóa kiểm thử phần mềm sử dụng Playwright</v>
      </c>
    </row>
    <row r="138">
      <c r="A138" s="9">
        <f t="shared" si="1"/>
        <v>137</v>
      </c>
      <c r="B138" s="1">
        <v>1.22001299E8</v>
      </c>
      <c r="C138" s="9" t="str">
        <f>VLOOKUP(B138,students!$B$2:$I$197,2,0)</f>
        <v>22CT114</v>
      </c>
      <c r="D138" s="9" t="str">
        <f>VLOOKUP(B138,students!$B$2:$I$197,3,0)</f>
        <v>Vũ Văn</v>
      </c>
      <c r="E138" s="9" t="str">
        <f>VLOOKUP(B138,students!$B$2:$I$197,4,0)</f>
        <v>Huy</v>
      </c>
      <c r="F138" s="15">
        <f>VLOOKUP(B138,students!$B$2:$I$197,7,0)</f>
        <v>392613582</v>
      </c>
      <c r="G138" s="9" t="str">
        <f>if(ISNA(VLOOKUP(B138,F_DangKiGiaoVien!$C$2:$Q999,2,0)),"Chưa ĐK","Đã ĐK")</f>
        <v>Đã ĐK</v>
      </c>
      <c r="H138" s="9" t="str">
        <f>if(ISNA(VLOOKUP(B138,F_DangKiGiaoVien!$C$2:$Q999,5,0)),"",VLOOKUP(B138,F_DangKiGiaoVien!$C$2:$Q999,5,0))</f>
        <v>Thực hiện đồ án tốt nghiệp</v>
      </c>
      <c r="I138" s="9" t="str">
        <f>if(ISNA(VLOOKUP(B138,F_DangKiGiaoVien!$C$2:$Q999,2,0)),"",VLOOKUP(B138,F_DangKiGiaoVien!$C$2:$Q999,6,0))</f>
        <v>Hoàng Sỹ Hùng</v>
      </c>
      <c r="J138" s="1" t="s">
        <v>392</v>
      </c>
      <c r="K138" s="9" t="str">
        <f>if(ISNA(VLOOKUP(B138,F_DangKiGiaoVien!$C$2:$Q999,2,0)),"",VLOOKUP(B138,F_DangKiGiaoVien!$C$2:$Q999,8,0))</f>
        <v>EventAI – Nền tảng quản lý sự kiện ứng dụng trí tuệ nhân tạo</v>
      </c>
    </row>
    <row r="139">
      <c r="A139" s="9">
        <f t="shared" si="1"/>
        <v>138</v>
      </c>
      <c r="B139" s="1">
        <v>1.22001333E8</v>
      </c>
      <c r="C139" s="9" t="str">
        <f>VLOOKUP(B139,students!$B$2:$I$197,2,0)</f>
        <v>22CT114</v>
      </c>
      <c r="D139" s="9" t="str">
        <f>VLOOKUP(B139,students!$B$2:$I$197,3,0)</f>
        <v>Vũ</v>
      </c>
      <c r="E139" s="9" t="str">
        <f>VLOOKUP(B139,students!$B$2:$I$197,4,0)</f>
        <v>Hoàng</v>
      </c>
      <c r="F139" s="15">
        <f>VLOOKUP(B139,students!$B$2:$I$197,7,0)</f>
        <v>764132019</v>
      </c>
      <c r="G139" s="9" t="str">
        <f>if(ISNA(VLOOKUP(B139,F_DangKiGiaoVien!$C$2:$Q999,2,0)),"Chưa ĐK","Đã ĐK")</f>
        <v>Đã ĐK</v>
      </c>
      <c r="H139" s="9" t="str">
        <f>if(ISNA(VLOOKUP(B139,F_DangKiGiaoVien!$C$2:$Q999,5,0)),"",VLOOKUP(B139,F_DangKiGiaoVien!$C$2:$Q999,5,0))</f>
        <v>Thực hiện đồ án tốt nghiệp</v>
      </c>
      <c r="I139" s="9" t="str">
        <f>if(ISNA(VLOOKUP(B139,F_DangKiGiaoVien!$C$2:$Q999,2,0)),"",VLOOKUP(B139,F_DangKiGiaoVien!$C$2:$Q999,6,0))</f>
        <v>Bùi Xuân Cảnh</v>
      </c>
      <c r="J139" s="1" t="s">
        <v>392</v>
      </c>
      <c r="K139" s="9" t="str">
        <f>if(ISNA(VLOOKUP(B139,F_DangKiGiaoVien!$C$2:$Q999,2,0)),"",VLOOKUP(B139,F_DangKiGiaoVien!$C$2:$Q999,8,0))</f>
        <v>Ứng dụng chia sẻ kinh nghiệm du lịch</v>
      </c>
    </row>
    <row r="140">
      <c r="A140" s="9">
        <f t="shared" si="1"/>
        <v>139</v>
      </c>
      <c r="B140" s="1">
        <v>1.22001374E8</v>
      </c>
      <c r="C140" s="9" t="str">
        <f>VLOOKUP(B140,students!$B$2:$I$197,2,0)</f>
        <v>22CT114</v>
      </c>
      <c r="D140" s="9" t="str">
        <f>VLOOKUP(B140,students!$B$2:$I$197,3,0)</f>
        <v>Hoàng Trung</v>
      </c>
      <c r="E140" s="9" t="str">
        <f>VLOOKUP(B140,students!$B$2:$I$197,4,0)</f>
        <v>Hậu</v>
      </c>
      <c r="F140" s="15">
        <f>VLOOKUP(B140,students!$B$2:$I$197,7,0)</f>
        <v>334401650</v>
      </c>
      <c r="G140" s="9" t="str">
        <f>if(ISNA(VLOOKUP(B140,F_DangKiGiaoVien!$C$2:$Q999,2,0)),"Chưa ĐK","Đã ĐK")</f>
        <v>Đã ĐK</v>
      </c>
      <c r="H140" s="9" t="str">
        <f>if(ISNA(VLOOKUP(B140,F_DangKiGiaoVien!$C$2:$Q999,5,0)),"",VLOOKUP(B140,F_DangKiGiaoVien!$C$2:$Q999,5,0))</f>
        <v>Thực hiện đồ án tốt nghiệp</v>
      </c>
      <c r="I140" s="9" t="str">
        <f>if(ISNA(VLOOKUP(B140,F_DangKiGiaoVien!$C$2:$Q999,2,0)),"",VLOOKUP(B140,F_DangKiGiaoVien!$C$2:$Q999,6,0))</f>
        <v>Bùi Thị Thu Trang</v>
      </c>
      <c r="J140" s="1" t="s">
        <v>392</v>
      </c>
      <c r="K140" s="9" t="str">
        <f>if(ISNA(VLOOKUP(B140,F_DangKiGiaoVien!$C$2:$Q999,2,0)),"",VLOOKUP(B140,F_DangKiGiaoVien!$C$2:$Q999,8,0))</f>
        <v>Giải pháp gợi ý sản phẩm bán hàng thông minh</v>
      </c>
    </row>
    <row r="141">
      <c r="A141" s="9">
        <f t="shared" si="1"/>
        <v>140</v>
      </c>
      <c r="B141" s="1">
        <v>1.22001375E8</v>
      </c>
      <c r="C141" s="9" t="str">
        <f>VLOOKUP(B141,students!$B$2:$I$197,2,0)</f>
        <v>22CT114</v>
      </c>
      <c r="D141" s="9" t="str">
        <f>VLOOKUP(B141,students!$B$2:$I$197,3,0)</f>
        <v>Chu Đình</v>
      </c>
      <c r="E141" s="9" t="str">
        <f>VLOOKUP(B141,students!$B$2:$I$197,4,0)</f>
        <v>Đạt</v>
      </c>
      <c r="F141" s="15">
        <f>VLOOKUP(B141,students!$B$2:$I$197,7,0)</f>
        <v>339005416</v>
      </c>
      <c r="G141" s="9" t="str">
        <f>if(ISNA(VLOOKUP(B141,F_DangKiGiaoVien!$C$2:$Q999,2,0)),"Chưa ĐK","Đã ĐK")</f>
        <v>Đã ĐK</v>
      </c>
      <c r="H141" s="9" t="str">
        <f>if(ISNA(VLOOKUP(B141,F_DangKiGiaoVien!$C$2:$Q999,5,0)),"",VLOOKUP(B141,F_DangKiGiaoVien!$C$2:$Q999,5,0))</f>
        <v>Thực hiện đồ án tốt nghiệp</v>
      </c>
      <c r="I141" s="9" t="str">
        <f>if(ISNA(VLOOKUP(B141,F_DangKiGiaoVien!$C$2:$Q999,2,0)),"",VLOOKUP(B141,F_DangKiGiaoVien!$C$2:$Q999,6,0))</f>
        <v>Hoàng Sỹ Hùng</v>
      </c>
      <c r="J141" s="1" t="s">
        <v>392</v>
      </c>
      <c r="K141" s="9" t="str">
        <f>if(ISNA(VLOOKUP(B141,F_DangKiGiaoVien!$C$2:$Q999,2,0)),"",VLOOKUP(B141,F_DangKiGiaoVien!$C$2:$Q999,8,0))</f>
        <v>Food AI For Gym Members</v>
      </c>
    </row>
    <row r="142">
      <c r="A142" s="9">
        <f t="shared" si="1"/>
        <v>141</v>
      </c>
      <c r="B142" s="1">
        <v>1.22001433E8</v>
      </c>
      <c r="C142" s="9" t="str">
        <f>VLOOKUP(B142,students!$B$2:$I$197,2,0)</f>
        <v>22CT114</v>
      </c>
      <c r="D142" s="9" t="str">
        <f>VLOOKUP(B142,students!$B$2:$I$197,3,0)</f>
        <v>Nguyễn Văn</v>
      </c>
      <c r="E142" s="9" t="str">
        <f>VLOOKUP(B142,students!$B$2:$I$197,4,0)</f>
        <v>Đại</v>
      </c>
      <c r="F142" s="15">
        <f>VLOOKUP(B142,students!$B$2:$I$197,7,0)</f>
        <v>386438891</v>
      </c>
      <c r="G142" s="9" t="str">
        <f>if(ISNA(VLOOKUP(B142,F_DangKiGiaoVien!$C$2:$Q999,2,0)),"Chưa ĐK","Đã ĐK")</f>
        <v>Đã ĐK</v>
      </c>
      <c r="H142" s="9" t="str">
        <f>if(ISNA(VLOOKUP(B142,F_DangKiGiaoVien!$C$2:$Q999,5,0)),"",VLOOKUP(B142,F_DangKiGiaoVien!$C$2:$Q999,5,0))</f>
        <v>Thực hiện đồ án tốt nghiệp</v>
      </c>
      <c r="I142" s="9" t="str">
        <f>if(ISNA(VLOOKUP(B142,F_DangKiGiaoVien!$C$2:$Q999,2,0)),"",VLOOKUP(B142,F_DangKiGiaoVien!$C$2:$Q999,6,0))</f>
        <v>Bùi Xuân Cảnh</v>
      </c>
      <c r="J142" s="1" t="s">
        <v>392</v>
      </c>
      <c r="K142" s="9" t="str">
        <f>if(ISNA(VLOOKUP(B142,F_DangKiGiaoVien!$C$2:$Q999,2,0)),"",VLOOKUP(B142,F_DangKiGiaoVien!$C$2:$Q999,8,0))</f>
        <v>Website bán quần áo</v>
      </c>
    </row>
    <row r="143">
      <c r="A143" s="9">
        <f t="shared" si="1"/>
        <v>142</v>
      </c>
      <c r="B143" s="1">
        <v>1.22001545E8</v>
      </c>
      <c r="C143" s="9" t="str">
        <f>VLOOKUP(B143,students!$B$2:$I$197,2,0)</f>
        <v>22CT114</v>
      </c>
      <c r="D143" s="9" t="str">
        <f>VLOOKUP(B143,students!$B$2:$I$197,3,0)</f>
        <v>Lê Đức</v>
      </c>
      <c r="E143" s="9" t="str">
        <f>VLOOKUP(B143,students!$B$2:$I$197,4,0)</f>
        <v>Huy</v>
      </c>
      <c r="F143" s="15">
        <f>VLOOKUP(B143,students!$B$2:$I$197,7,0)</f>
        <v>389255416</v>
      </c>
      <c r="G143" s="9" t="str">
        <f>if(ISNA(VLOOKUP(B143,F_DangKiGiaoVien!$C$2:$Q999,2,0)),"Chưa ĐK","Đã ĐK")</f>
        <v>Đã ĐK</v>
      </c>
      <c r="H143" s="9" t="str">
        <f>if(ISNA(VLOOKUP(B143,F_DangKiGiaoVien!$C$2:$Q999,5,0)),"",VLOOKUP(B143,F_DangKiGiaoVien!$C$2:$Q999,5,0))</f>
        <v>Thực hiện đồ án tốt nghiệp</v>
      </c>
      <c r="I143" s="9" t="str">
        <f>if(ISNA(VLOOKUP(B143,F_DangKiGiaoVien!$C$2:$Q999,2,0)),"",VLOOKUP(B143,F_DangKiGiaoVien!$C$2:$Q999,6,0))</f>
        <v>Bùi Xuân Cảnh</v>
      </c>
      <c r="J143" s="1" t="s">
        <v>392</v>
      </c>
      <c r="K143" s="9" t="str">
        <f>if(ISNA(VLOOKUP(B143,F_DangKiGiaoVien!$C$2:$Q999,2,0)),"",VLOOKUP(B143,F_DangKiGiaoVien!$C$2:$Q999,8,0))</f>
        <v>Wed quản lý tài chính và gợi ý tiết kiệm</v>
      </c>
    </row>
    <row r="144">
      <c r="A144" s="9">
        <f t="shared" si="1"/>
        <v>143</v>
      </c>
      <c r="B144" s="1">
        <v>1.21000551E8</v>
      </c>
      <c r="C144" s="9" t="str">
        <f>VLOOKUP(B144,students!$B$2:$I$197,2,0)</f>
        <v>22CT115</v>
      </c>
      <c r="D144" s="9" t="str">
        <f>VLOOKUP(B144,students!$B$2:$I$197,3,0)</f>
        <v>Nguyễn Trọng Hiếu</v>
      </c>
      <c r="E144" s="9" t="str">
        <f>VLOOKUP(B144,students!$B$2:$I$197,4,0)</f>
        <v>Đức</v>
      </c>
      <c r="F144" s="15">
        <f>VLOOKUP(B144,students!$B$2:$I$197,7,0)</f>
        <v>929276287</v>
      </c>
      <c r="G144" s="9" t="str">
        <f>if(ISNA(VLOOKUP(B144,F_DangKiGiaoVien!$C$2:$Q999,2,0)),"Chưa ĐK","Đã ĐK")</f>
        <v>Chưa ĐK</v>
      </c>
      <c r="H144" s="9" t="str">
        <f>if(ISNA(VLOOKUP(B144,F_DangKiGiaoVien!$C$2:$Q999,5,0)),"",VLOOKUP(B144,F_DangKiGiaoVien!$C$2:$Q999,5,0))</f>
        <v/>
      </c>
      <c r="I144" s="9" t="str">
        <f>if(ISNA(VLOOKUP(B144,F_DangKiGiaoVien!$C$2:$Q999,2,0)),"",VLOOKUP(B144,F_DangKiGiaoVien!$C$2:$Q999,6,0))</f>
        <v/>
      </c>
      <c r="J144" s="9"/>
      <c r="K144" s="9" t="str">
        <f>if(ISNA(VLOOKUP(B144,F_DangKiGiaoVien!$C$2:$Q999,2,0)),"",VLOOKUP(B144,F_DangKiGiaoVien!$C$2:$Q999,8,0))</f>
        <v/>
      </c>
    </row>
    <row r="145">
      <c r="A145" s="9">
        <f t="shared" si="1"/>
        <v>144</v>
      </c>
      <c r="B145" s="1">
        <v>1.22000192E8</v>
      </c>
      <c r="C145" s="9" t="str">
        <f>VLOOKUP(B145,students!$B$2:$I$197,2,0)</f>
        <v>22CT115</v>
      </c>
      <c r="D145" s="9" t="str">
        <f>VLOOKUP(B145,students!$B$2:$I$197,3,0)</f>
        <v>Trần Nguyễn</v>
      </c>
      <c r="E145" s="9" t="str">
        <f>VLOOKUP(B145,students!$B$2:$I$197,4,0)</f>
        <v>An</v>
      </c>
      <c r="F145" s="15">
        <f>VLOOKUP(B145,students!$B$2:$I$197,7,0)</f>
        <v>702872560</v>
      </c>
      <c r="G145" s="9" t="str">
        <f>if(ISNA(VLOOKUP(B145,F_DangKiGiaoVien!$C$2:$Q999,2,0)),"Chưa ĐK","Đã ĐK")</f>
        <v>Đã ĐK</v>
      </c>
      <c r="H145" s="9" t="str">
        <f>if(ISNA(VLOOKUP(B145,F_DangKiGiaoVien!$C$2:$Q999,5,0)),"",VLOOKUP(B145,F_DangKiGiaoVien!$C$2:$Q999,5,0))</f>
        <v>Thực hiện đồ án tốt nghiệp</v>
      </c>
      <c r="I145" s="9" t="str">
        <f>if(ISNA(VLOOKUP(B145,F_DangKiGiaoVien!$C$2:$Q999,2,0)),"",VLOOKUP(B145,F_DangKiGiaoVien!$C$2:$Q999,6,0))</f>
        <v>Nguyễn Vũ Duy Quang</v>
      </c>
      <c r="J145" s="1" t="s">
        <v>392</v>
      </c>
      <c r="K145" s="9" t="str">
        <f>if(ISNA(VLOOKUP(B145,F_DangKiGiaoVien!$C$2:$Q999,2,0)),"",VLOOKUP(B145,F_DangKiGiaoVien!$C$2:$Q999,8,0))</f>
        <v>Xây dựng hệ thống chứng nhận hóa đơn/hợp đồng điện tử trên nền tảng blockchain cho hộ kinh doanh nhỏ lẻ</v>
      </c>
    </row>
    <row r="146">
      <c r="A146" s="9">
        <f t="shared" si="1"/>
        <v>145</v>
      </c>
      <c r="B146" s="1">
        <v>1.22000203E8</v>
      </c>
      <c r="C146" s="9" t="str">
        <f>VLOOKUP(B146,students!$B$2:$I$197,2,0)</f>
        <v>22CT115</v>
      </c>
      <c r="D146" s="9" t="str">
        <f>VLOOKUP(B146,students!$B$2:$I$197,3,0)</f>
        <v>Trần Thị Như</v>
      </c>
      <c r="E146" s="9" t="str">
        <f>VLOOKUP(B146,students!$B$2:$I$197,4,0)</f>
        <v>Quỳnh</v>
      </c>
      <c r="F146" s="15">
        <f>VLOOKUP(B146,students!$B$2:$I$197,7,0)</f>
        <v>363169755</v>
      </c>
      <c r="G146" s="9" t="str">
        <f>if(ISNA(VLOOKUP(B146,F_DangKiGiaoVien!$C$2:$Q999,2,0)),"Chưa ĐK","Đã ĐK")</f>
        <v>Đã ĐK</v>
      </c>
      <c r="H146" s="9" t="str">
        <f>if(ISNA(VLOOKUP(B146,F_DangKiGiaoVien!$C$2:$Q999,5,0)),"",VLOOKUP(B146,F_DangKiGiaoVien!$C$2:$Q999,5,0))</f>
        <v>Thực hiện đồ án tốt nghiệp</v>
      </c>
      <c r="I146" s="9" t="str">
        <f>if(ISNA(VLOOKUP(B146,F_DangKiGiaoVien!$C$2:$Q999,2,0)),"",VLOOKUP(B146,F_DangKiGiaoVien!$C$2:$Q999,6,0))</f>
        <v>Nguyễn Minh Phúc</v>
      </c>
      <c r="J146" s="1" t="s">
        <v>392</v>
      </c>
      <c r="K146" s="9" t="str">
        <f>if(ISNA(VLOOKUP(B146,F_DangKiGiaoVien!$C$2:$Q999,2,0)),"",VLOOKUP(B146,F_DangKiGiaoVien!$C$2:$Q999,8,0))</f>
        <v>Xây dựng module hệ thống gợi ý lỗi và feedback tự động trong lập trình python</v>
      </c>
    </row>
    <row r="147">
      <c r="A147" s="9">
        <f t="shared" si="1"/>
        <v>146</v>
      </c>
      <c r="B147" s="1">
        <v>1.22000253E8</v>
      </c>
      <c r="C147" s="9" t="str">
        <f>VLOOKUP(B147,students!$B$2:$I$197,2,0)</f>
        <v>22CT115</v>
      </c>
      <c r="D147" s="9" t="str">
        <f>VLOOKUP(B147,students!$B$2:$I$197,3,0)</f>
        <v>Nguyễn Đoàn Nhật</v>
      </c>
      <c r="E147" s="9" t="str">
        <f>VLOOKUP(B147,students!$B$2:$I$197,4,0)</f>
        <v>Minh</v>
      </c>
      <c r="F147" s="15">
        <f>VLOOKUP(B147,students!$B$2:$I$197,7,0)</f>
        <v>333849252</v>
      </c>
      <c r="G147" s="9" t="str">
        <f>if(ISNA(VLOOKUP(B147,F_DangKiGiaoVien!$C$2:$Q999,2,0)),"Chưa ĐK","Đã ĐK")</f>
        <v>Đã ĐK</v>
      </c>
      <c r="H147" s="9" t="str">
        <f>if(ISNA(VLOOKUP(B147,F_DangKiGiaoVien!$C$2:$Q999,5,0)),"",VLOOKUP(B147,F_DangKiGiaoVien!$C$2:$Q999,5,0))</f>
        <v>Thực hiện đồ án tốt nghiệp</v>
      </c>
      <c r="I147" s="9" t="str">
        <f>if(ISNA(VLOOKUP(B147,F_DangKiGiaoVien!$C$2:$Q999,2,0)),"",VLOOKUP(B147,F_DangKiGiaoVien!$C$2:$Q999,6,0))</f>
        <v>Nguyễn Minh Sơn</v>
      </c>
      <c r="J147" s="1" t="s">
        <v>392</v>
      </c>
      <c r="K147" s="9" t="str">
        <f>if(ISNA(VLOOKUP(B147,F_DangKiGiaoVien!$C$2:$Q999,2,0)),"",VLOOKUP(B147,F_DangKiGiaoVien!$C$2:$Q999,8,0))</f>
        <v>Xây dựng Hệ thống CRM AI Agents cho doanh nghiệp</v>
      </c>
    </row>
    <row r="148">
      <c r="A148" s="9">
        <f t="shared" si="1"/>
        <v>147</v>
      </c>
      <c r="B148" s="1">
        <v>1.22000472E8</v>
      </c>
      <c r="C148" s="9" t="str">
        <f>VLOOKUP(B148,students!$B$2:$I$197,2,0)</f>
        <v>22CT115</v>
      </c>
      <c r="D148" s="9" t="str">
        <f>VLOOKUP(B148,students!$B$2:$I$197,3,0)</f>
        <v>Lê Phúc</v>
      </c>
      <c r="E148" s="9" t="str">
        <f>VLOOKUP(B148,students!$B$2:$I$197,4,0)</f>
        <v>Hậu</v>
      </c>
      <c r="F148" s="15">
        <f>VLOOKUP(B148,students!$B$2:$I$197,7,0)</f>
        <v>352667076</v>
      </c>
      <c r="G148" s="9" t="str">
        <f>if(ISNA(VLOOKUP(B148,F_DangKiGiaoVien!$C$2:$Q999,2,0)),"Chưa ĐK","Đã ĐK")</f>
        <v>Đã ĐK</v>
      </c>
      <c r="H148" s="9" t="str">
        <f>if(ISNA(VLOOKUP(B148,F_DangKiGiaoVien!$C$2:$Q999,5,0)),"",VLOOKUP(B148,F_DangKiGiaoVien!$C$2:$Q999,5,0))</f>
        <v>Thực hiện đồ án tốt nghiệp</v>
      </c>
      <c r="I148" s="9" t="str">
        <f>if(ISNA(VLOOKUP(B148,F_DangKiGiaoVien!$C$2:$Q999,2,0)),"",VLOOKUP(B148,F_DangKiGiaoVien!$C$2:$Q999,6,0))</f>
        <v>Bùi Thị Thu Trang</v>
      </c>
      <c r="J148" s="1" t="s">
        <v>392</v>
      </c>
      <c r="K148" s="9" t="str">
        <f>if(ISNA(VLOOKUP(B148,F_DangKiGiaoVien!$C$2:$Q999,2,0)),"",VLOOKUP(B148,F_DangKiGiaoVien!$C$2:$Q999,8,0))</f>
        <v>Quản lý khách sạn</v>
      </c>
    </row>
    <row r="149">
      <c r="A149" s="9">
        <f t="shared" si="1"/>
        <v>148</v>
      </c>
      <c r="B149" s="1">
        <v>1.22000496E8</v>
      </c>
      <c r="C149" s="9" t="str">
        <f>VLOOKUP(B149,students!$B$2:$I$197,2,0)</f>
        <v>22CT115</v>
      </c>
      <c r="D149" s="9" t="str">
        <f>VLOOKUP(B149,students!$B$2:$I$197,3,0)</f>
        <v>Lê</v>
      </c>
      <c r="E149" s="9" t="str">
        <f>VLOOKUP(B149,students!$B$2:$I$197,4,0)</f>
        <v>An</v>
      </c>
      <c r="F149" s="15">
        <f>VLOOKUP(B149,students!$B$2:$I$197,7,0)</f>
        <v>393654728</v>
      </c>
      <c r="G149" s="9" t="str">
        <f>if(ISNA(VLOOKUP(B149,F_DangKiGiaoVien!$C$2:$Q999,2,0)),"Chưa ĐK","Đã ĐK")</f>
        <v>Đã ĐK</v>
      </c>
      <c r="H149" s="9" t="str">
        <f>if(ISNA(VLOOKUP(B149,F_DangKiGiaoVien!$C$2:$Q999,5,0)),"",VLOOKUP(B149,F_DangKiGiaoVien!$C$2:$Q999,5,0))</f>
        <v>Thực hiện đồ án tốt nghiệp</v>
      </c>
      <c r="I149" s="9" t="str">
        <f>if(ISNA(VLOOKUP(B149,F_DangKiGiaoVien!$C$2:$Q999,2,0)),"",VLOOKUP(B149,F_DangKiGiaoVien!$C$2:$Q999,6,0))</f>
        <v>Bùi Thị Thu Trang</v>
      </c>
      <c r="J149" s="1" t="s">
        <v>392</v>
      </c>
      <c r="K149" s="9" t="str">
        <f>if(ISNA(VLOOKUP(B149,F_DangKiGiaoVien!$C$2:$Q999,2,0)),"",VLOOKUP(B149,F_DangKiGiaoVien!$C$2:$Q999,8,0))</f>
        <v>web bán thương mại điện tử</v>
      </c>
    </row>
    <row r="150">
      <c r="A150" s="9">
        <f t="shared" si="1"/>
        <v>149</v>
      </c>
      <c r="B150" s="1">
        <v>1.22000702E8</v>
      </c>
      <c r="C150" s="9" t="str">
        <f>VLOOKUP(B150,students!$B$2:$I$197,2,0)</f>
        <v>22CT115</v>
      </c>
      <c r="D150" s="9" t="str">
        <f>VLOOKUP(B150,students!$B$2:$I$197,3,0)</f>
        <v>Lê Anh</v>
      </c>
      <c r="E150" s="9" t="str">
        <f>VLOOKUP(B150,students!$B$2:$I$197,4,0)</f>
        <v>Dũng</v>
      </c>
      <c r="F150" s="15">
        <f>VLOOKUP(B150,students!$B$2:$I$197,7,0)</f>
        <v>977882934</v>
      </c>
      <c r="G150" s="9" t="str">
        <f>if(ISNA(VLOOKUP(B150,F_DangKiGiaoVien!$C$2:$Q999,2,0)),"Chưa ĐK","Đã ĐK")</f>
        <v>Đã ĐK</v>
      </c>
      <c r="H150" s="9" t="str">
        <f>if(ISNA(VLOOKUP(B150,F_DangKiGiaoVien!$C$2:$Q999,5,0)),"",VLOOKUP(B150,F_DangKiGiaoVien!$C$2:$Q999,5,0))</f>
        <v>Thực hiện đồ án tốt nghiệp</v>
      </c>
      <c r="I150" s="9" t="str">
        <f>if(ISNA(VLOOKUP(B150,F_DangKiGiaoVien!$C$2:$Q999,2,0)),"",VLOOKUP(B150,F_DangKiGiaoVien!$C$2:$Q999,6,0))</f>
        <v>Bùi Thị Thu Trang</v>
      </c>
      <c r="J150" s="1" t="s">
        <v>392</v>
      </c>
      <c r="K150" s="9" t="str">
        <f>if(ISNA(VLOOKUP(B150,F_DangKiGiaoVien!$C$2:$Q999,2,0)),"",VLOOKUP(B150,F_DangKiGiaoVien!$C$2:$Q999,8,0))</f>
        <v>Web Thương Mại Điện tử</v>
      </c>
    </row>
    <row r="151">
      <c r="A151" s="9">
        <f t="shared" si="1"/>
        <v>150</v>
      </c>
      <c r="B151" s="1">
        <v>1.22000827E8</v>
      </c>
      <c r="C151" s="9" t="str">
        <f>VLOOKUP(B151,students!$B$2:$I$197,2,0)</f>
        <v>22CT115</v>
      </c>
      <c r="D151" s="9" t="str">
        <f>VLOOKUP(B151,students!$B$2:$I$197,3,0)</f>
        <v>Phùng Thái</v>
      </c>
      <c r="E151" s="9" t="str">
        <f>VLOOKUP(B151,students!$B$2:$I$197,4,0)</f>
        <v>Sơn</v>
      </c>
      <c r="F151" s="15">
        <f>VLOOKUP(B151,students!$B$2:$I$197,7,0)</f>
        <v>389551722</v>
      </c>
      <c r="G151" s="9" t="str">
        <f>if(ISNA(VLOOKUP(B151,F_DangKiGiaoVien!$C$2:$Q999,2,0)),"Chưa ĐK","Đã ĐK")</f>
        <v>Đã ĐK</v>
      </c>
      <c r="H151" s="9" t="str">
        <f>if(ISNA(VLOOKUP(B151,F_DangKiGiaoVien!$C$2:$Q999,5,0)),"",VLOOKUP(B151,F_DangKiGiaoVien!$C$2:$Q999,5,0))</f>
        <v>Thực hiện đồ án tốt nghiệp</v>
      </c>
      <c r="I151" s="9" t="str">
        <f>if(ISNA(VLOOKUP(B151,F_DangKiGiaoVien!$C$2:$Q999,2,0)),"",VLOOKUP(B151,F_DangKiGiaoVien!$C$2:$Q999,6,0))</f>
        <v>Bùi Thị Thu Trang</v>
      </c>
      <c r="J151" s="1" t="s">
        <v>392</v>
      </c>
      <c r="K151" s="9" t="str">
        <f>if(ISNA(VLOOKUP(B151,F_DangKiGiaoVien!$C$2:$Q999,2,0)),"",VLOOKUP(B151,F_DangKiGiaoVien!$C$2:$Q999,8,0))</f>
        <v> Quản lý cửa hàng</v>
      </c>
    </row>
    <row r="152">
      <c r="A152" s="9">
        <f t="shared" si="1"/>
        <v>151</v>
      </c>
      <c r="B152" s="1">
        <v>1.2200099E8</v>
      </c>
      <c r="C152" s="9" t="str">
        <f>VLOOKUP(B152,students!$B$2:$I$197,2,0)</f>
        <v>22CT115</v>
      </c>
      <c r="D152" s="9" t="str">
        <f>VLOOKUP(B152,students!$B$2:$I$197,3,0)</f>
        <v>Mai Trường</v>
      </c>
      <c r="E152" s="9" t="str">
        <f>VLOOKUP(B152,students!$B$2:$I$197,4,0)</f>
        <v>Sơn</v>
      </c>
      <c r="F152" s="15">
        <f>VLOOKUP(B152,students!$B$2:$I$197,7,0)</f>
        <v>347508697</v>
      </c>
      <c r="G152" s="9" t="str">
        <f>if(ISNA(VLOOKUP(B152,F_DangKiGiaoVien!$C$2:$Q999,2,0)),"Chưa ĐK","Đã ĐK")</f>
        <v>Chưa ĐK</v>
      </c>
      <c r="H152" s="9" t="str">
        <f>if(ISNA(VLOOKUP(B152,F_DangKiGiaoVien!$C$2:$Q999,5,0)),"",VLOOKUP(B152,F_DangKiGiaoVien!$C$2:$Q999,5,0))</f>
        <v/>
      </c>
      <c r="I152" s="9" t="str">
        <f>if(ISNA(VLOOKUP(B152,F_DangKiGiaoVien!$C$2:$Q999,2,0)),"",VLOOKUP(B152,F_DangKiGiaoVien!$C$2:$Q999,6,0))</f>
        <v/>
      </c>
      <c r="J152" s="9"/>
      <c r="K152" s="9" t="str">
        <f>if(ISNA(VLOOKUP(B152,F_DangKiGiaoVien!$C$2:$Q999,2,0)),"",VLOOKUP(B152,F_DangKiGiaoVien!$C$2:$Q999,8,0))</f>
        <v/>
      </c>
    </row>
    <row r="153">
      <c r="A153" s="9">
        <f t="shared" si="1"/>
        <v>152</v>
      </c>
      <c r="B153" s="1">
        <v>1.22001128E8</v>
      </c>
      <c r="C153" s="9" t="str">
        <f>VLOOKUP(B153,students!$B$2:$I$197,2,0)</f>
        <v>22CT115</v>
      </c>
      <c r="D153" s="9" t="str">
        <f>VLOOKUP(B153,students!$B$2:$I$197,3,0)</f>
        <v>Phạm Hữu</v>
      </c>
      <c r="E153" s="9" t="str">
        <f>VLOOKUP(B153,students!$B$2:$I$197,4,0)</f>
        <v>Phước</v>
      </c>
      <c r="F153" s="15">
        <f>VLOOKUP(B153,students!$B$2:$I$197,7,0)</f>
        <v>327057313</v>
      </c>
      <c r="G153" s="9" t="str">
        <f>if(ISNA(VLOOKUP(B153,F_DangKiGiaoVien!$C$2:$Q999,2,0)),"Chưa ĐK","Đã ĐK")</f>
        <v>Đã ĐK</v>
      </c>
      <c r="H153" s="9" t="str">
        <f>if(ISNA(VLOOKUP(B153,F_DangKiGiaoVien!$C$2:$Q999,5,0)),"",VLOOKUP(B153,F_DangKiGiaoVien!$C$2:$Q999,5,0))</f>
        <v>Thực hiện đồ án tốt nghiệp</v>
      </c>
      <c r="I153" s="9" t="str">
        <f>if(ISNA(VLOOKUP(B153,F_DangKiGiaoVien!$C$2:$Q999,2,0)),"",VLOOKUP(B153,F_DangKiGiaoVien!$C$2:$Q999,6,0))</f>
        <v>Bùi Thị Thu Trang</v>
      </c>
      <c r="J153" s="1" t="s">
        <v>392</v>
      </c>
      <c r="K153" s="9" t="str">
        <f>if(ISNA(VLOOKUP(B153,F_DangKiGiaoVien!$C$2:$Q999,2,0)),"",VLOOKUP(B153,F_DangKiGiaoVien!$C$2:$Q999,8,0))</f>
        <v>QUẢN LÝ KHÁCH SẠN TÍCH HỢP CHATBOT AI</v>
      </c>
    </row>
    <row r="154">
      <c r="A154" s="9">
        <f t="shared" si="1"/>
        <v>153</v>
      </c>
      <c r="B154" s="1">
        <v>1.22001383E8</v>
      </c>
      <c r="C154" s="9" t="str">
        <f>VLOOKUP(B154,students!$B$2:$I$197,2,0)</f>
        <v>22CT115</v>
      </c>
      <c r="D154" s="9" t="str">
        <f>VLOOKUP(B154,students!$B$2:$I$197,3,0)</f>
        <v>Phan Đức</v>
      </c>
      <c r="E154" s="9" t="str">
        <f>VLOOKUP(B154,students!$B$2:$I$197,4,0)</f>
        <v>Thọ</v>
      </c>
      <c r="F154" s="15">
        <f>VLOOKUP(B154,students!$B$2:$I$197,7,0)</f>
        <v>367401449</v>
      </c>
      <c r="G154" s="9" t="str">
        <f>if(ISNA(VLOOKUP(B154,F_DangKiGiaoVien!$C$2:$Q999,2,0)),"Chưa ĐK","Đã ĐK")</f>
        <v>Đã ĐK</v>
      </c>
      <c r="H154" s="9" t="str">
        <f>if(ISNA(VLOOKUP(B154,F_DangKiGiaoVien!$C$2:$Q999,5,0)),"",VLOOKUP(B154,F_DangKiGiaoVien!$C$2:$Q999,5,0))</f>
        <v>Thực hiện đồ án tốt nghiệp</v>
      </c>
      <c r="I154" s="9" t="str">
        <f>if(ISNA(VLOOKUP(B154,F_DangKiGiaoVien!$C$2:$Q999,2,0)),"",VLOOKUP(B154,F_DangKiGiaoVien!$C$2:$Q999,6,0))</f>
        <v>Nguyễn Vũ Duy Quang</v>
      </c>
      <c r="J154" s="1" t="s">
        <v>392</v>
      </c>
      <c r="K154" s="9" t="str">
        <f>if(ISNA(VLOOKUP(B154,F_DangKiGiaoVien!$C$2:$Q999,2,0)),"",VLOOKUP(B154,F_DangKiGiaoVien!$C$2:$Q999,8,0))</f>
        <v>Xây dựng hệ thống chứng nhận hóa đơn/hợp đồng điện tử trên nền tảng blockchain cho hộ kinh doanh nhỏ lẻ</v>
      </c>
    </row>
    <row r="155">
      <c r="A155" s="9">
        <f t="shared" si="1"/>
        <v>154</v>
      </c>
      <c r="B155" s="1">
        <v>1.22001385E8</v>
      </c>
      <c r="C155" s="9" t="str">
        <f>VLOOKUP(B155,students!$B$2:$I$197,2,0)</f>
        <v>22CT115</v>
      </c>
      <c r="D155" s="9" t="str">
        <f>VLOOKUP(B155,students!$B$2:$I$197,3,0)</f>
        <v>Trần Gia</v>
      </c>
      <c r="E155" s="9" t="str">
        <f>VLOOKUP(B155,students!$B$2:$I$197,4,0)</f>
        <v>Bảo</v>
      </c>
      <c r="F155" s="15">
        <f>VLOOKUP(B155,students!$B$2:$I$197,7,0)</f>
        <v>357823141</v>
      </c>
      <c r="G155" s="9" t="str">
        <f>if(ISNA(VLOOKUP(B155,F_DangKiGiaoVien!$C$2:$Q999,2,0)),"Chưa ĐK","Đã ĐK")</f>
        <v>Đã ĐK</v>
      </c>
      <c r="H155" s="9" t="str">
        <f>if(ISNA(VLOOKUP(B155,F_DangKiGiaoVien!$C$2:$Q999,5,0)),"",VLOOKUP(B155,F_DangKiGiaoVien!$C$2:$Q999,5,0))</f>
        <v>Thực hiện đồ án tốt nghiệp</v>
      </c>
      <c r="I155" s="9" t="str">
        <f>if(ISNA(VLOOKUP(B155,F_DangKiGiaoVien!$C$2:$Q999,2,0)),"",VLOOKUP(B155,F_DangKiGiaoVien!$C$2:$Q999,6,0))</f>
        <v>Hồ Ngọc Hoàng Long</v>
      </c>
      <c r="J155" s="1" t="s">
        <v>392</v>
      </c>
      <c r="K155" s="9" t="str">
        <f>if(ISNA(VLOOKUP(B155,F_DangKiGiaoVien!$C$2:$Q999,2,0)),"",VLOOKUP(B155,F_DangKiGiaoVien!$C$2:$Q999,8,0))</f>
        <v>Nghiên cứu và phát triển hệ thống Smart Home ứng dụng AI</v>
      </c>
    </row>
    <row r="156">
      <c r="A156" s="9">
        <f t="shared" si="1"/>
        <v>155</v>
      </c>
      <c r="B156" s="1">
        <v>1.22001389E8</v>
      </c>
      <c r="C156" s="9" t="str">
        <f>VLOOKUP(B156,students!$B$2:$I$197,2,0)</f>
        <v>22CT115</v>
      </c>
      <c r="D156" s="9" t="str">
        <f>VLOOKUP(B156,students!$B$2:$I$197,3,0)</f>
        <v>Tạ Hảo</v>
      </c>
      <c r="E156" s="9" t="str">
        <f>VLOOKUP(B156,students!$B$2:$I$197,4,0)</f>
        <v>Nguyên</v>
      </c>
      <c r="F156" s="15">
        <f>VLOOKUP(B156,students!$B$2:$I$197,7,0)</f>
        <v>971420301</v>
      </c>
      <c r="G156" s="9" t="str">
        <f>if(ISNA(VLOOKUP(B156,F_DangKiGiaoVien!$C$2:$Q999,2,0)),"Chưa ĐK","Đã ĐK")</f>
        <v>Đã ĐK</v>
      </c>
      <c r="H156" s="9" t="str">
        <f>if(ISNA(VLOOKUP(B156,F_DangKiGiaoVien!$C$2:$Q999,5,0)),"",VLOOKUP(B156,F_DangKiGiaoVien!$C$2:$Q999,5,0))</f>
        <v>Đặc cách tốt nghiệp</v>
      </c>
      <c r="I156" s="9" t="str">
        <f>if(ISNA(VLOOKUP(B156,F_DangKiGiaoVien!$C$2:$Q999,2,0)),"",VLOOKUP(B156,F_DangKiGiaoVien!$C$2:$Q999,6,0))</f>
        <v>Đặc cách tốt nghiệp</v>
      </c>
      <c r="J156" s="9"/>
      <c r="K156" s="9" t="str">
        <f>if(ISNA(VLOOKUP(B156,F_DangKiGiaoVien!$C$2:$Q999,2,0)),"",VLOOKUP(B156,F_DangKiGiaoVien!$C$2:$Q999,8,0))</f>
        <v/>
      </c>
    </row>
    <row r="157">
      <c r="A157" s="9">
        <f t="shared" si="1"/>
        <v>156</v>
      </c>
      <c r="B157" s="1">
        <v>1.22001394E8</v>
      </c>
      <c r="C157" s="9" t="str">
        <f>VLOOKUP(B157,students!$B$2:$I$197,2,0)</f>
        <v>22CT115</v>
      </c>
      <c r="D157" s="9" t="str">
        <f>VLOOKUP(B157,students!$B$2:$I$197,3,0)</f>
        <v>Phạm Trí</v>
      </c>
      <c r="E157" s="9" t="str">
        <f>VLOOKUP(B157,students!$B$2:$I$197,4,0)</f>
        <v>Khiêm</v>
      </c>
      <c r="F157" s="15">
        <f>VLOOKUP(B157,students!$B$2:$I$197,7,0)</f>
        <v>848993079</v>
      </c>
      <c r="G157" s="9" t="str">
        <f>if(ISNA(VLOOKUP(B157,F_DangKiGiaoVien!$C$2:$Q999,2,0)),"Chưa ĐK","Đã ĐK")</f>
        <v>Đã ĐK</v>
      </c>
      <c r="H157" s="9" t="str">
        <f>if(ISNA(VLOOKUP(B157,F_DangKiGiaoVien!$C$2:$Q999,5,0)),"",VLOOKUP(B157,F_DangKiGiaoVien!$C$2:$Q999,5,0))</f>
        <v>Đặc cách tốt nghiệp</v>
      </c>
      <c r="I157" s="9" t="str">
        <f>if(ISNA(VLOOKUP(B157,F_DangKiGiaoVien!$C$2:$Q999,2,0)),"",VLOOKUP(B157,F_DangKiGiaoVien!$C$2:$Q999,6,0))</f>
        <v/>
      </c>
      <c r="J157" s="9"/>
      <c r="K157" s="9" t="str">
        <f>if(ISNA(VLOOKUP(B157,F_DangKiGiaoVien!$C$2:$Q999,2,0)),"",VLOOKUP(B157,F_DangKiGiaoVien!$C$2:$Q999,8,0))</f>
        <v/>
      </c>
    </row>
    <row r="158">
      <c r="A158" s="9">
        <f t="shared" si="1"/>
        <v>157</v>
      </c>
      <c r="B158" s="1">
        <v>1.22001407E8</v>
      </c>
      <c r="C158" s="9" t="str">
        <f>VLOOKUP(B158,students!$B$2:$I$197,2,0)</f>
        <v>22CT115</v>
      </c>
      <c r="D158" s="9" t="str">
        <f>VLOOKUP(B158,students!$B$2:$I$197,3,0)</f>
        <v>Nguyễn Ngọc Tuấn</v>
      </c>
      <c r="E158" s="9" t="str">
        <f>VLOOKUP(B158,students!$B$2:$I$197,4,0)</f>
        <v>Anh</v>
      </c>
      <c r="F158" s="15">
        <f>VLOOKUP(B158,students!$B$2:$I$197,7,0)</f>
        <v>345543986</v>
      </c>
      <c r="G158" s="9" t="str">
        <f>if(ISNA(VLOOKUP(B158,F_DangKiGiaoVien!$C$2:$Q999,2,0)),"Chưa ĐK","Đã ĐK")</f>
        <v>Đã ĐK</v>
      </c>
      <c r="H158" s="9" t="str">
        <f>if(ISNA(VLOOKUP(B158,F_DangKiGiaoVien!$C$2:$Q999,5,0)),"",VLOOKUP(B158,F_DangKiGiaoVien!$C$2:$Q999,5,0))</f>
        <v>Thực hiện đồ án tốt nghiệp</v>
      </c>
      <c r="I158" s="9" t="str">
        <f>if(ISNA(VLOOKUP(B158,F_DangKiGiaoVien!$C$2:$Q999,2,0)),"",VLOOKUP(B158,F_DangKiGiaoVien!$C$2:$Q999,6,0))</f>
        <v>Hoàng Sỹ Hùng</v>
      </c>
      <c r="J158" s="1" t="s">
        <v>392</v>
      </c>
      <c r="K158" s="9" t="str">
        <f>if(ISNA(VLOOKUP(B158,F_DangKiGiaoVien!$C$2:$Q999,2,0)),"",VLOOKUP(B158,F_DangKiGiaoVien!$C$2:$Q999,8,0))</f>
        <v> AI Learning Platform</v>
      </c>
    </row>
    <row r="159">
      <c r="A159" s="9">
        <f t="shared" si="1"/>
        <v>158</v>
      </c>
      <c r="B159" s="1">
        <v>1.22001416E8</v>
      </c>
      <c r="C159" s="9" t="str">
        <f>VLOOKUP(B159,students!$B$2:$I$197,2,0)</f>
        <v>22CT115</v>
      </c>
      <c r="D159" s="9" t="str">
        <f>VLOOKUP(B159,students!$B$2:$I$197,3,0)</f>
        <v>Vũ Quốc</v>
      </c>
      <c r="E159" s="9" t="str">
        <f>VLOOKUP(B159,students!$B$2:$I$197,4,0)</f>
        <v>Nghĩa</v>
      </c>
      <c r="F159" s="15">
        <f>VLOOKUP(B159,students!$B$2:$I$197,7,0)</f>
        <v>394268896</v>
      </c>
      <c r="G159" s="9" t="str">
        <f>if(ISNA(VLOOKUP(B159,F_DangKiGiaoVien!$C$2:$Q999,2,0)),"Chưa ĐK","Đã ĐK")</f>
        <v>Chưa ĐK</v>
      </c>
      <c r="H159" s="9" t="str">
        <f>if(ISNA(VLOOKUP(B159,F_DangKiGiaoVien!$C$2:$Q999,5,0)),"",VLOOKUP(B159,F_DangKiGiaoVien!$C$2:$Q999,5,0))</f>
        <v/>
      </c>
      <c r="I159" s="9" t="str">
        <f>if(ISNA(VLOOKUP(B159,F_DangKiGiaoVien!$C$2:$Q999,2,0)),"",VLOOKUP(B159,F_DangKiGiaoVien!$C$2:$Q999,6,0))</f>
        <v/>
      </c>
      <c r="J159" s="9"/>
      <c r="K159" s="9" t="str">
        <f>if(ISNA(VLOOKUP(B159,F_DangKiGiaoVien!$C$2:$Q999,2,0)),"",VLOOKUP(B159,F_DangKiGiaoVien!$C$2:$Q999,8,0))</f>
        <v/>
      </c>
    </row>
    <row r="160">
      <c r="A160" s="9">
        <f t="shared" si="1"/>
        <v>159</v>
      </c>
      <c r="B160" s="1">
        <v>1.22001425E8</v>
      </c>
      <c r="C160" s="9" t="str">
        <f>VLOOKUP(B160,students!$B$2:$I$197,2,0)</f>
        <v>22CT115</v>
      </c>
      <c r="D160" s="9" t="str">
        <f>VLOOKUP(B160,students!$B$2:$I$197,3,0)</f>
        <v>Nguyễn Hiếu</v>
      </c>
      <c r="E160" s="9" t="str">
        <f>VLOOKUP(B160,students!$B$2:$I$197,4,0)</f>
        <v>Thịnh</v>
      </c>
      <c r="F160" s="15">
        <f>VLOOKUP(B160,students!$B$2:$I$197,7,0)</f>
        <v>969206761</v>
      </c>
      <c r="G160" s="9" t="str">
        <f>if(ISNA(VLOOKUP(B160,F_DangKiGiaoVien!$C$2:$Q999,2,0)),"Chưa ĐK","Đã ĐK")</f>
        <v>Đã ĐK</v>
      </c>
      <c r="H160" s="9" t="str">
        <f>if(ISNA(VLOOKUP(B160,F_DangKiGiaoVien!$C$2:$Q999,5,0)),"",VLOOKUP(B160,F_DangKiGiaoVien!$C$2:$Q999,5,0))</f>
        <v>Thực hiện đồ án tốt nghiệp</v>
      </c>
      <c r="I160" s="9" t="str">
        <f>if(ISNA(VLOOKUP(B160,F_DangKiGiaoVien!$C$2:$Q999,2,0)),"",VLOOKUP(B160,F_DangKiGiaoVien!$C$2:$Q999,6,0))</f>
        <v>Phan Thị Hường</v>
      </c>
      <c r="J160" s="1" t="s">
        <v>392</v>
      </c>
      <c r="K160" s="9" t="str">
        <f>if(ISNA(VLOOKUP(B160,F_DangKiGiaoVien!$C$2:$Q999,2,0)),"",VLOOKUP(B160,F_DangKiGiaoVien!$C$2:$Q999,8,0))</f>
        <v>Xây dựng game 2D RPG góc nhìn Top-down</v>
      </c>
    </row>
    <row r="161">
      <c r="A161" s="9">
        <f t="shared" si="1"/>
        <v>160</v>
      </c>
      <c r="B161" s="1">
        <v>1.22001446E8</v>
      </c>
      <c r="C161" s="9" t="str">
        <f>VLOOKUP(B161,students!$B$2:$I$197,2,0)</f>
        <v>22CT115</v>
      </c>
      <c r="D161" s="9" t="str">
        <f>VLOOKUP(B161,students!$B$2:$I$197,3,0)</f>
        <v>Phan Thành</v>
      </c>
      <c r="E161" s="9" t="str">
        <f>VLOOKUP(B161,students!$B$2:$I$197,4,0)</f>
        <v>Long</v>
      </c>
      <c r="F161" s="15">
        <f>VLOOKUP(B161,students!$B$2:$I$197,7,0)</f>
        <v>389579076</v>
      </c>
      <c r="G161" s="9" t="str">
        <f>if(ISNA(VLOOKUP(B161,F_DangKiGiaoVien!$C$2:$Q999,2,0)),"Chưa ĐK","Đã ĐK")</f>
        <v>Đã ĐK</v>
      </c>
      <c r="H161" s="9" t="str">
        <f>if(ISNA(VLOOKUP(B161,F_DangKiGiaoVien!$C$2:$Q999,5,0)),"",VLOOKUP(B161,F_DangKiGiaoVien!$C$2:$Q999,5,0))</f>
        <v>Đặc cách tốt nghiệp</v>
      </c>
      <c r="I161" s="9" t="str">
        <f>if(ISNA(VLOOKUP(B161,F_DangKiGiaoVien!$C$2:$Q999,2,0)),"",VLOOKUP(B161,F_DangKiGiaoVien!$C$2:$Q999,6,0))</f>
        <v>Đặc cách tốt nghiệp</v>
      </c>
      <c r="J161" s="9"/>
      <c r="K161" s="9" t="str">
        <f>if(ISNA(VLOOKUP(B161,F_DangKiGiaoVien!$C$2:$Q999,2,0)),"",VLOOKUP(B161,F_DangKiGiaoVien!$C$2:$Q999,8,0))</f>
        <v/>
      </c>
    </row>
    <row r="162">
      <c r="A162" s="9">
        <f t="shared" si="1"/>
        <v>161</v>
      </c>
      <c r="B162" s="1">
        <v>1.22001452E8</v>
      </c>
      <c r="C162" s="9" t="str">
        <f>VLOOKUP(B162,students!$B$2:$I$197,2,0)</f>
        <v>22CT115</v>
      </c>
      <c r="D162" s="9" t="str">
        <f>VLOOKUP(B162,students!$B$2:$I$197,3,0)</f>
        <v>Nguyễn Trọng</v>
      </c>
      <c r="E162" s="9" t="str">
        <f>VLOOKUP(B162,students!$B$2:$I$197,4,0)</f>
        <v>Quốc</v>
      </c>
      <c r="F162" s="15">
        <f>VLOOKUP(B162,students!$B$2:$I$197,7,0)</f>
        <v>945196010</v>
      </c>
      <c r="G162" s="9" t="str">
        <f>if(ISNA(VLOOKUP(B162,F_DangKiGiaoVien!$C$2:$Q999,2,0)),"Chưa ĐK","Đã ĐK")</f>
        <v>Chưa ĐK</v>
      </c>
      <c r="H162" s="9" t="str">
        <f>if(ISNA(VLOOKUP(B162,F_DangKiGiaoVien!$C$2:$Q999,5,0)),"",VLOOKUP(B162,F_DangKiGiaoVien!$C$2:$Q999,5,0))</f>
        <v/>
      </c>
      <c r="I162" s="9" t="str">
        <f>if(ISNA(VLOOKUP(B162,F_DangKiGiaoVien!$C$2:$Q999,2,0)),"",VLOOKUP(B162,F_DangKiGiaoVien!$C$2:$Q999,6,0))</f>
        <v/>
      </c>
      <c r="J162" s="9"/>
      <c r="K162" s="9" t="str">
        <f>if(ISNA(VLOOKUP(B162,F_DangKiGiaoVien!$C$2:$Q999,2,0)),"",VLOOKUP(B162,F_DangKiGiaoVien!$C$2:$Q999,8,0))</f>
        <v/>
      </c>
    </row>
    <row r="163">
      <c r="A163" s="9">
        <f t="shared" si="1"/>
        <v>162</v>
      </c>
      <c r="B163" s="1">
        <v>1.22001458E8</v>
      </c>
      <c r="C163" s="9" t="str">
        <f>VLOOKUP(B163,students!$B$2:$I$197,2,0)</f>
        <v>22CT115</v>
      </c>
      <c r="D163" s="9" t="str">
        <f>VLOOKUP(B163,students!$B$2:$I$197,3,0)</f>
        <v>Bùi Minh</v>
      </c>
      <c r="E163" s="9" t="str">
        <f>VLOOKUP(B163,students!$B$2:$I$197,4,0)</f>
        <v>Cường</v>
      </c>
      <c r="F163" s="15">
        <f>VLOOKUP(B163,students!$B$2:$I$197,7,0)</f>
        <v>846924089</v>
      </c>
      <c r="G163" s="9" t="str">
        <f>if(ISNA(VLOOKUP(B163,F_DangKiGiaoVien!$C$2:$Q999,2,0)),"Chưa ĐK","Đã ĐK")</f>
        <v>Đã ĐK</v>
      </c>
      <c r="H163" s="9" t="str">
        <f>if(ISNA(VLOOKUP(B163,F_DangKiGiaoVien!$C$2:$Q999,5,0)),"",VLOOKUP(B163,F_DangKiGiaoVien!$C$2:$Q999,5,0))</f>
        <v>Thực hiện đồ án tốt nghiệp</v>
      </c>
      <c r="I163" s="9" t="str">
        <f>if(ISNA(VLOOKUP(B163,F_DangKiGiaoVien!$C$2:$Q999,2,0)),"",VLOOKUP(B163,F_DangKiGiaoVien!$C$2:$Q999,6,0))</f>
        <v>Nguyễn Minh Sơn</v>
      </c>
      <c r="J163" s="1" t="s">
        <v>392</v>
      </c>
      <c r="K163" s="9" t="str">
        <f>if(ISNA(VLOOKUP(B163,F_DangKiGiaoVien!$C$2:$Q999,2,0)),"",VLOOKUP(B163,F_DangKiGiaoVien!$C$2:$Q999,8,0))</f>
        <v>Xây dựng Hệ thống CRM AI Agents cho doanh nghiệp</v>
      </c>
    </row>
    <row r="164">
      <c r="A164" s="9">
        <f t="shared" si="1"/>
        <v>163</v>
      </c>
      <c r="B164" s="1">
        <v>1.22001459E8</v>
      </c>
      <c r="C164" s="9" t="str">
        <f>VLOOKUP(B164,students!$B$2:$I$197,2,0)</f>
        <v>22CT115</v>
      </c>
      <c r="D164" s="9" t="str">
        <f>VLOOKUP(B164,students!$B$2:$I$197,3,0)</f>
        <v>Cao Lê</v>
      </c>
      <c r="E164" s="9" t="str">
        <f>VLOOKUP(B164,students!$B$2:$I$197,4,0)</f>
        <v>Huy</v>
      </c>
      <c r="F164" s="15">
        <f>VLOOKUP(B164,students!$B$2:$I$197,7,0)</f>
        <v>946122004</v>
      </c>
      <c r="G164" s="9" t="str">
        <f>if(ISNA(VLOOKUP(B164,F_DangKiGiaoVien!$C$2:$Q999,2,0)),"Chưa ĐK","Đã ĐK")</f>
        <v>Chưa ĐK</v>
      </c>
      <c r="H164" s="9" t="str">
        <f>if(ISNA(VLOOKUP(B164,F_DangKiGiaoVien!$C$2:$Q999,5,0)),"",VLOOKUP(B164,F_DangKiGiaoVien!$C$2:$Q999,5,0))</f>
        <v/>
      </c>
      <c r="I164" s="9" t="str">
        <f>if(ISNA(VLOOKUP(B164,F_DangKiGiaoVien!$C$2:$Q999,2,0)),"",VLOOKUP(B164,F_DangKiGiaoVien!$C$2:$Q999,6,0))</f>
        <v/>
      </c>
      <c r="J164" s="9"/>
      <c r="K164" s="9" t="str">
        <f>if(ISNA(VLOOKUP(B164,F_DangKiGiaoVien!$C$2:$Q999,2,0)),"",VLOOKUP(B164,F_DangKiGiaoVien!$C$2:$Q999,8,0))</f>
        <v/>
      </c>
    </row>
    <row r="165">
      <c r="A165" s="9">
        <f t="shared" si="1"/>
        <v>164</v>
      </c>
      <c r="B165" s="1">
        <v>1.22001471E8</v>
      </c>
      <c r="C165" s="9" t="str">
        <f>VLOOKUP(B165,students!$B$2:$I$197,2,0)</f>
        <v>22CT115</v>
      </c>
      <c r="D165" s="9" t="str">
        <f>VLOOKUP(B165,students!$B$2:$I$197,3,0)</f>
        <v>Nguyễn Thị Tường</v>
      </c>
      <c r="E165" s="9" t="str">
        <f>VLOOKUP(B165,students!$B$2:$I$197,4,0)</f>
        <v>Vy</v>
      </c>
      <c r="F165" s="15">
        <f>VLOOKUP(B165,students!$B$2:$I$197,7,0)</f>
        <v>375931355</v>
      </c>
      <c r="G165" s="9" t="str">
        <f>if(ISNA(VLOOKUP(B165,F_DangKiGiaoVien!$C$2:$Q999,2,0)),"Chưa ĐK","Đã ĐK")</f>
        <v>Đã ĐK</v>
      </c>
      <c r="H165" s="9" t="str">
        <f>if(ISNA(VLOOKUP(B165,F_DangKiGiaoVien!$C$2:$Q999,5,0)),"",VLOOKUP(B165,F_DangKiGiaoVien!$C$2:$Q999,5,0))</f>
        <v>Thực hiện đồ án tốt nghiệp</v>
      </c>
      <c r="I165" s="9" t="str">
        <f>if(ISNA(VLOOKUP(B165,F_DangKiGiaoVien!$C$2:$Q999,2,0)),"",VLOOKUP(B165,F_DangKiGiaoVien!$C$2:$Q999,6,0))</f>
        <v>Nguyễn Vũ Thiên Phúc</v>
      </c>
      <c r="J165" s="1" t="s">
        <v>392</v>
      </c>
      <c r="K165" s="9" t="str">
        <f>if(ISNA(VLOOKUP(B165,F_DangKiGiaoVien!$C$2:$Q999,2,0)),"",VLOOKUP(B165,F_DangKiGiaoVien!$C$2:$Q999,8,0))</f>
        <v>XÂY DỰNG HỆ THỐNG ĐIỂM DANH TỰ ĐỘNG BẰNG WIFI</v>
      </c>
    </row>
    <row r="166">
      <c r="A166" s="9">
        <f t="shared" si="1"/>
        <v>165</v>
      </c>
      <c r="B166" s="1">
        <v>1.22001472E8</v>
      </c>
      <c r="C166" s="9" t="str">
        <f>VLOOKUP(B166,students!$B$2:$I$197,2,0)</f>
        <v>22CT115</v>
      </c>
      <c r="D166" s="9" t="str">
        <f>VLOOKUP(B166,students!$B$2:$I$197,3,0)</f>
        <v>Nguyễn Văn</v>
      </c>
      <c r="E166" s="9" t="str">
        <f>VLOOKUP(B166,students!$B$2:$I$197,4,0)</f>
        <v>Mạnh</v>
      </c>
      <c r="F166" s="15">
        <f>VLOOKUP(B166,students!$B$2:$I$197,7,0)</f>
        <v>866066583</v>
      </c>
      <c r="G166" s="9" t="str">
        <f>if(ISNA(VLOOKUP(B166,F_DangKiGiaoVien!$C$2:$Q999,2,0)),"Chưa ĐK","Đã ĐK")</f>
        <v>Đã ĐK</v>
      </c>
      <c r="H166" s="9" t="str">
        <f>if(ISNA(VLOOKUP(B166,F_DangKiGiaoVien!$C$2:$Q999,5,0)),"",VLOOKUP(B166,F_DangKiGiaoVien!$C$2:$Q999,5,0))</f>
        <v>Thực hiện đồ án tốt nghiệp</v>
      </c>
      <c r="I166" s="9" t="str">
        <f>if(ISNA(VLOOKUP(B166,F_DangKiGiaoVien!$C$2:$Q999,2,0)),"",VLOOKUP(B166,F_DangKiGiaoVien!$C$2:$Q999,6,0))</f>
        <v>Phan Thị Hường</v>
      </c>
      <c r="J166" s="1" t="s">
        <v>392</v>
      </c>
      <c r="K166" s="9" t="str">
        <f>if(ISNA(VLOOKUP(B166,F_DangKiGiaoVien!$C$2:$Q999,2,0)),"",VLOOKUP(B166,F_DangKiGiaoVien!$C$2:$Q999,8,0))</f>
        <v>Xây dựng game Rpg pixel RPG</v>
      </c>
    </row>
    <row r="167">
      <c r="A167" s="9">
        <f t="shared" si="1"/>
        <v>166</v>
      </c>
      <c r="B167" s="1">
        <v>1.22001473E8</v>
      </c>
      <c r="C167" s="9" t="str">
        <f>VLOOKUP(B167,students!$B$2:$I$197,2,0)</f>
        <v>22CT115</v>
      </c>
      <c r="D167" s="9" t="str">
        <f>VLOOKUP(B167,students!$B$2:$I$197,3,0)</f>
        <v>Trần Đình Phúc</v>
      </c>
      <c r="E167" s="9" t="str">
        <f>VLOOKUP(B167,students!$B$2:$I$197,4,0)</f>
        <v>Đức</v>
      </c>
      <c r="F167" s="15">
        <f>VLOOKUP(B167,students!$B$2:$I$197,7,0)</f>
        <v>816111891</v>
      </c>
      <c r="G167" s="9" t="str">
        <f>if(ISNA(VLOOKUP(B167,F_DangKiGiaoVien!$C$2:$Q999,2,0)),"Chưa ĐK","Đã ĐK")</f>
        <v>Đã ĐK</v>
      </c>
      <c r="H167" s="9" t="str">
        <f>if(ISNA(VLOOKUP(B167,F_DangKiGiaoVien!$C$2:$Q999,5,0)),"",VLOOKUP(B167,F_DangKiGiaoVien!$C$2:$Q999,5,0))</f>
        <v>Thực hiện đồ án tốt nghiệp</v>
      </c>
      <c r="I167" s="9" t="str">
        <f>if(ISNA(VLOOKUP(B167,F_DangKiGiaoVien!$C$2:$Q999,2,0)),"",VLOOKUP(B167,F_DangKiGiaoVien!$C$2:$Q999,6,0))</f>
        <v>Nguyễn Vũ Duy Quang</v>
      </c>
      <c r="J167" s="1" t="s">
        <v>392</v>
      </c>
      <c r="K167" s="9" t="str">
        <f>if(ISNA(VLOOKUP(B167,F_DangKiGiaoVien!$C$2:$Q999,2,0)),"",VLOOKUP(B167,F_DangKiGiaoVien!$C$2:$Q999,8,0))</f>
        <v>NGHIÊN CỨU VÀ XÂY DỰNG MÔ HÌNH CHIA SẺ TÀI LIỆU MẬT AN TOÀN TRÊN NỀN TẢNG WEBSITE</v>
      </c>
    </row>
    <row r="168">
      <c r="A168" s="9">
        <f t="shared" si="1"/>
        <v>167</v>
      </c>
      <c r="B168" s="1">
        <v>1.22001481E8</v>
      </c>
      <c r="C168" s="9" t="str">
        <f>VLOOKUP(B168,students!$B$2:$I$197,2,0)</f>
        <v>22CT115</v>
      </c>
      <c r="D168" s="9" t="str">
        <f>VLOOKUP(B168,students!$B$2:$I$197,3,0)</f>
        <v>Lương Đức</v>
      </c>
      <c r="E168" s="9" t="str">
        <f>VLOOKUP(B168,students!$B$2:$I$197,4,0)</f>
        <v>Mạnh</v>
      </c>
      <c r="F168" s="15">
        <f>VLOOKUP(B168,students!$B$2:$I$197,7,0)</f>
        <v>362798072</v>
      </c>
      <c r="G168" s="9" t="str">
        <f>if(ISNA(VLOOKUP(B168,F_DangKiGiaoVien!$C$2:$Q999,2,0)),"Chưa ĐK","Đã ĐK")</f>
        <v>Đã ĐK</v>
      </c>
      <c r="H168" s="9" t="str">
        <f>if(ISNA(VLOOKUP(B168,F_DangKiGiaoVien!$C$2:$Q999,5,0)),"",VLOOKUP(B168,F_DangKiGiaoVien!$C$2:$Q999,5,0))</f>
        <v>Thực hiện đồ án tốt nghiệp</v>
      </c>
      <c r="I168" s="9" t="str">
        <f>if(ISNA(VLOOKUP(B168,F_DangKiGiaoVien!$C$2:$Q999,2,0)),"",VLOOKUP(B168,F_DangKiGiaoVien!$C$2:$Q999,6,0))</f>
        <v>Hoàng Sỹ Hùng</v>
      </c>
      <c r="J168" s="1" t="s">
        <v>392</v>
      </c>
      <c r="K168" s="9" t="str">
        <f>if(ISNA(VLOOKUP(B168,F_DangKiGiaoVien!$C$2:$Q999,2,0)),"",VLOOKUP(B168,F_DangKiGiaoVien!$C$2:$Q999,8,0))</f>
        <v>AI Learning Platform</v>
      </c>
    </row>
    <row r="169">
      <c r="A169" s="9">
        <f t="shared" si="1"/>
        <v>168</v>
      </c>
      <c r="B169" s="1">
        <v>1.22001493E8</v>
      </c>
      <c r="C169" s="9" t="str">
        <f>VLOOKUP(B169,students!$B$2:$I$197,2,0)</f>
        <v>22CT115</v>
      </c>
      <c r="D169" s="9" t="str">
        <f>VLOOKUP(B169,students!$B$2:$I$197,3,0)</f>
        <v>Nguyễn Hoàng</v>
      </c>
      <c r="E169" s="9" t="str">
        <f>VLOOKUP(B169,students!$B$2:$I$197,4,0)</f>
        <v>Phước</v>
      </c>
      <c r="F169" s="15">
        <f>VLOOKUP(B169,students!$B$2:$I$197,7,0)</f>
        <v>965782304</v>
      </c>
      <c r="G169" s="9" t="str">
        <f>if(ISNA(VLOOKUP(B169,F_DangKiGiaoVien!$C$2:$Q999,2,0)),"Chưa ĐK","Đã ĐK")</f>
        <v>Đã ĐK</v>
      </c>
      <c r="H169" s="9" t="str">
        <f>if(ISNA(VLOOKUP(B169,F_DangKiGiaoVien!$C$2:$Q999,5,0)),"",VLOOKUP(B169,F_DangKiGiaoVien!$C$2:$Q999,5,0))</f>
        <v>Đặc cách tốt nghiệp</v>
      </c>
      <c r="I169" s="9" t="str">
        <f>if(ISNA(VLOOKUP(B169,F_DangKiGiaoVien!$C$2:$Q999,2,0)),"",VLOOKUP(B169,F_DangKiGiaoVien!$C$2:$Q999,6,0))</f>
        <v/>
      </c>
      <c r="J169" s="9"/>
      <c r="K169" s="9" t="str">
        <f>if(ISNA(VLOOKUP(B169,F_DangKiGiaoVien!$C$2:$Q999,2,0)),"",VLOOKUP(B169,F_DangKiGiaoVien!$C$2:$Q999,8,0))</f>
        <v/>
      </c>
    </row>
    <row r="170">
      <c r="A170" s="9">
        <f t="shared" si="1"/>
        <v>169</v>
      </c>
      <c r="B170" s="1">
        <v>1.22001497E8</v>
      </c>
      <c r="C170" s="9" t="str">
        <f>VLOOKUP(B170,students!$B$2:$I$197,2,0)</f>
        <v>22CT115</v>
      </c>
      <c r="D170" s="9" t="str">
        <f>VLOOKUP(B170,students!$B$2:$I$197,3,0)</f>
        <v>Nguyễn Nhựt</v>
      </c>
      <c r="E170" s="9" t="str">
        <f>VLOOKUP(B170,students!$B$2:$I$197,4,0)</f>
        <v>Hào</v>
      </c>
      <c r="F170" s="15">
        <f>VLOOKUP(B170,students!$B$2:$I$197,7,0)</f>
        <v>392167082</v>
      </c>
      <c r="G170" s="9" t="str">
        <f>if(ISNA(VLOOKUP(B170,F_DangKiGiaoVien!$C$2:$Q999,2,0)),"Chưa ĐK","Đã ĐK")</f>
        <v>Đã ĐK</v>
      </c>
      <c r="H170" s="9" t="str">
        <f>if(ISNA(VLOOKUP(B170,F_DangKiGiaoVien!$C$2:$Q999,5,0)),"",VLOOKUP(B170,F_DangKiGiaoVien!$C$2:$Q999,5,0))</f>
        <v>Thực hiện đồ án tốt nghiệp</v>
      </c>
      <c r="I170" s="1" t="s">
        <v>393</v>
      </c>
      <c r="J170" s="1" t="s">
        <v>392</v>
      </c>
      <c r="K170" s="9" t="str">
        <f>if(ISNA(VLOOKUP(B170,F_DangKiGiaoVien!$C$2:$Q999,2,0)),"",VLOOKUP(B170,F_DangKiGiaoVien!$C$2:$Q999,8,0))</f>
        <v>nnhCare - Hệ thống đặt lịch khám bệnh tích hợp AI</v>
      </c>
    </row>
    <row r="171">
      <c r="A171" s="9">
        <f t="shared" si="1"/>
        <v>170</v>
      </c>
      <c r="B171" s="1">
        <v>1.22001502E8</v>
      </c>
      <c r="C171" s="9" t="str">
        <f>VLOOKUP(B171,students!$B$2:$I$197,2,0)</f>
        <v>22CT115</v>
      </c>
      <c r="D171" s="9" t="str">
        <f>VLOOKUP(B171,students!$B$2:$I$197,3,0)</f>
        <v>Nguyễn Minh</v>
      </c>
      <c r="E171" s="9" t="str">
        <f>VLOOKUP(B171,students!$B$2:$I$197,4,0)</f>
        <v>Khôi</v>
      </c>
      <c r="F171" s="15">
        <f>VLOOKUP(B171,students!$B$2:$I$197,7,0)</f>
        <v>382047977</v>
      </c>
      <c r="G171" s="9" t="str">
        <f>if(ISNA(VLOOKUP(B171,F_DangKiGiaoVien!$C$2:$Q999,2,0)),"Chưa ĐK","Đã ĐK")</f>
        <v>Đã ĐK</v>
      </c>
      <c r="H171" s="9" t="str">
        <f>if(ISNA(VLOOKUP(B171,F_DangKiGiaoVien!$C$2:$Q999,5,0)),"",VLOOKUP(B171,F_DangKiGiaoVien!$C$2:$Q999,5,0))</f>
        <v>Đặc cách tốt nghiệp</v>
      </c>
      <c r="I171" s="9" t="str">
        <f>if(ISNA(VLOOKUP(B171,F_DangKiGiaoVien!$C$2:$Q999,2,0)),"",VLOOKUP(B171,F_DangKiGiaoVien!$C$2:$Q999,6,0))</f>
        <v>Đặc cách tốt nghiệp</v>
      </c>
      <c r="J171" s="9"/>
      <c r="K171" s="9" t="str">
        <f>if(ISNA(VLOOKUP(B171,F_DangKiGiaoVien!$C$2:$Q999,2,0)),"",VLOOKUP(B171,F_DangKiGiaoVien!$C$2:$Q999,8,0))</f>
        <v/>
      </c>
    </row>
    <row r="172">
      <c r="A172" s="9">
        <f t="shared" si="1"/>
        <v>171</v>
      </c>
      <c r="B172" s="1">
        <v>1.22001541E8</v>
      </c>
      <c r="C172" s="9" t="str">
        <f>VLOOKUP(B172,students!$B$2:$I$197,2,0)</f>
        <v>22CT115</v>
      </c>
      <c r="D172" s="9" t="str">
        <f>VLOOKUP(B172,students!$B$2:$I$197,3,0)</f>
        <v>Đậu Minh</v>
      </c>
      <c r="E172" s="9" t="str">
        <f>VLOOKUP(B172,students!$B$2:$I$197,4,0)</f>
        <v>Tuấn</v>
      </c>
      <c r="F172" s="15">
        <f>VLOOKUP(B172,students!$B$2:$I$197,7,0)</f>
        <v>325586629</v>
      </c>
      <c r="G172" s="9" t="str">
        <f>if(ISNA(VLOOKUP(B172,F_DangKiGiaoVien!$C$2:$Q999,2,0)),"Chưa ĐK","Đã ĐK")</f>
        <v>Đã ĐK</v>
      </c>
      <c r="H172" s="9" t="str">
        <f>if(ISNA(VLOOKUP(B172,F_DangKiGiaoVien!$C$2:$Q999,5,0)),"",VLOOKUP(B172,F_DangKiGiaoVien!$C$2:$Q999,5,0))</f>
        <v>Thực hiện đồ án tốt nghiệp</v>
      </c>
      <c r="I172" s="9" t="str">
        <f>if(ISNA(VLOOKUP(B172,F_DangKiGiaoVien!$C$2:$Q999,2,0)),"",VLOOKUP(B172,F_DangKiGiaoVien!$C$2:$Q999,6,0))</f>
        <v>Hồ Ngọc Hoàng Long</v>
      </c>
      <c r="J172" s="1" t="s">
        <v>392</v>
      </c>
      <c r="K172" s="9" t="str">
        <f>if(ISNA(VLOOKUP(B172,F_DangKiGiaoVien!$C$2:$Q999,2,0)),"",VLOOKUP(B172,F_DangKiGiaoVien!$C$2:$Q999,8,0))</f>
        <v>Nghiên cứu và phát triển hệ thống Smart Home ứng dụng AI</v>
      </c>
    </row>
    <row r="173">
      <c r="A173" s="9">
        <f t="shared" si="1"/>
        <v>172</v>
      </c>
      <c r="B173" s="1">
        <v>1.22001549E8</v>
      </c>
      <c r="C173" s="9" t="str">
        <f>VLOOKUP(B173,students!$B$2:$I$197,2,0)</f>
        <v>22CT115</v>
      </c>
      <c r="D173" s="9" t="str">
        <f>VLOOKUP(B173,students!$B$2:$I$197,3,0)</f>
        <v>Châu Gia</v>
      </c>
      <c r="E173" s="9" t="str">
        <f>VLOOKUP(B173,students!$B$2:$I$197,4,0)</f>
        <v>Huy</v>
      </c>
      <c r="F173" s="15">
        <f>VLOOKUP(B173,students!$B$2:$I$197,7,0)</f>
        <v>986375505</v>
      </c>
      <c r="G173" s="9" t="str">
        <f>if(ISNA(VLOOKUP(B173,F_DangKiGiaoVien!$C$2:$Q999,2,0)),"Chưa ĐK","Đã ĐK")</f>
        <v>Đã ĐK</v>
      </c>
      <c r="H173" s="9" t="str">
        <f>if(ISNA(VLOOKUP(B173,F_DangKiGiaoVien!$C$2:$Q999,5,0)),"",VLOOKUP(B173,F_DangKiGiaoVien!$C$2:$Q999,5,0))</f>
        <v>Đặc cách tốt nghiệp</v>
      </c>
      <c r="I173" s="9" t="str">
        <f>if(ISNA(VLOOKUP(B173,F_DangKiGiaoVien!$C$2:$Q999,2,0)),"",VLOOKUP(B173,F_DangKiGiaoVien!$C$2:$Q999,6,0))</f>
        <v/>
      </c>
      <c r="J173" s="9"/>
      <c r="K173" s="9" t="str">
        <f>if(ISNA(VLOOKUP(B173,F_DangKiGiaoVien!$C$2:$Q999,2,0)),"",VLOOKUP(B173,F_DangKiGiaoVien!$C$2:$Q999,8,0))</f>
        <v/>
      </c>
    </row>
    <row r="174">
      <c r="A174" s="9">
        <f t="shared" si="1"/>
        <v>173</v>
      </c>
      <c r="B174" s="1">
        <v>1.22001599E8</v>
      </c>
      <c r="C174" s="9" t="str">
        <f>VLOOKUP(B174,students!$B$2:$I$197,2,0)</f>
        <v>22CT115</v>
      </c>
      <c r="D174" s="9" t="str">
        <f>VLOOKUP(B174,students!$B$2:$I$197,3,0)</f>
        <v>Bùi Bảo</v>
      </c>
      <c r="E174" s="9" t="str">
        <f>VLOOKUP(B174,students!$B$2:$I$197,4,0)</f>
        <v>Anh</v>
      </c>
      <c r="F174" s="15">
        <f>VLOOKUP(B174,students!$B$2:$I$197,7,0)</f>
        <v>911418758</v>
      </c>
      <c r="G174" s="9" t="str">
        <f>if(ISNA(VLOOKUP(B174,F_DangKiGiaoVien!$C$2:$Q999,2,0)),"Chưa ĐK","Đã ĐK")</f>
        <v>Đã ĐK</v>
      </c>
      <c r="H174" s="9" t="str">
        <f>if(ISNA(VLOOKUP(B174,F_DangKiGiaoVien!$C$2:$Q999,5,0)),"",VLOOKUP(B174,F_DangKiGiaoVien!$C$2:$Q999,5,0))</f>
        <v>Đặc cách tốt nghiệp</v>
      </c>
      <c r="I174" s="9" t="str">
        <f>if(ISNA(VLOOKUP(B174,F_DangKiGiaoVien!$C$2:$Q999,2,0)),"",VLOOKUP(B174,F_DangKiGiaoVien!$C$2:$Q999,6,0))</f>
        <v>Đặc cách tốt nghiệp</v>
      </c>
      <c r="J174" s="9"/>
      <c r="K174" s="9" t="str">
        <f>if(ISNA(VLOOKUP(B174,F_DangKiGiaoVien!$C$2:$Q999,2,0)),"",VLOOKUP(B174,F_DangKiGiaoVien!$C$2:$Q999,8,0))</f>
        <v/>
      </c>
    </row>
    <row r="175">
      <c r="A175" s="7">
        <f t="shared" si="1"/>
        <v>174</v>
      </c>
      <c r="B175" s="5">
        <v>1.22001006E8</v>
      </c>
      <c r="C175" s="7" t="str">
        <f>VLOOKUP(B175,students!$B$2:$I$197,2,0)</f>
        <v>22EC111</v>
      </c>
      <c r="D175" s="7" t="str">
        <f>VLOOKUP(B175,students!$B$2:$I$197,3,0)</f>
        <v>Trần Thị Lan</v>
      </c>
      <c r="E175" s="7" t="str">
        <f>VLOOKUP(B175,students!$B$2:$I$197,4,0)</f>
        <v>Anh</v>
      </c>
      <c r="F175" s="15">
        <f>VLOOKUP(B175,students!$B$2:$I$197,7,0)</f>
        <v>394179828</v>
      </c>
      <c r="G175" s="1" t="s">
        <v>394</v>
      </c>
      <c r="H175" s="1" t="s">
        <v>395</v>
      </c>
      <c r="I175" s="1" t="s">
        <v>396</v>
      </c>
      <c r="J175" s="1" t="s">
        <v>392</v>
      </c>
      <c r="K175" s="1" t="s">
        <v>397</v>
      </c>
    </row>
    <row r="176">
      <c r="A176" s="7">
        <f t="shared" si="1"/>
        <v>175</v>
      </c>
      <c r="B176" s="5">
        <v>1.22001123E8</v>
      </c>
      <c r="C176" s="7" t="str">
        <f>VLOOKUP(B176,students!$B$2:$I$197,2,0)</f>
        <v>22EC111</v>
      </c>
      <c r="D176" s="7" t="str">
        <f>VLOOKUP(B176,students!$B$2:$I$197,3,0)</f>
        <v>Phùng Thụy Vân</v>
      </c>
      <c r="E176" s="7" t="str">
        <f>VLOOKUP(B176,students!$B$2:$I$197,4,0)</f>
        <v>Anh</v>
      </c>
      <c r="F176" s="15">
        <f>VLOOKUP(B176,students!$B$2:$I$197,7,0)</f>
        <v>329711433</v>
      </c>
      <c r="G176" s="9" t="str">
        <f>if(ISNA(VLOOKUP(B176,F_DangKiGiaoVien!$C$2:$Q999,2,0)),"Chưa ĐK","Đã ĐK")</f>
        <v>Đã ĐK</v>
      </c>
      <c r="H176" s="9" t="str">
        <f>if(ISNA(VLOOKUP(B176,F_DangKiGiaoVien!$C$2:$Q999,5,0)),"",VLOOKUP(B176,F_DangKiGiaoVien!$C$2:$Q999,5,0))</f>
        <v>Thực hiện đồ án tốt nghiệp</v>
      </c>
      <c r="I176" s="9" t="str">
        <f>if(ISNA(VLOOKUP(B176,F_DangKiGiaoVien!$C$2:$Q999,2,0)),"",VLOOKUP(B176,F_DangKiGiaoVien!$C$2:$Q999,6,0))</f>
        <v>Bùi Thị Thu Trang</v>
      </c>
      <c r="J176" s="1" t="s">
        <v>392</v>
      </c>
      <c r="K176" s="9" t="str">
        <f>if(ISNA(VLOOKUP(B176,F_DangKiGiaoVien!$C$2:$Q999,2,0)),"",VLOOKUP(B176,F_DangKiGiaoVien!$C$2:$Q999,8,0))</f>
        <v>E-LOGISTICS quản lý và phối hợp xử lý đơn hàng</v>
      </c>
    </row>
    <row r="177">
      <c r="A177" s="7">
        <f t="shared" si="1"/>
        <v>176</v>
      </c>
      <c r="B177" s="5">
        <v>1.22000293E8</v>
      </c>
      <c r="C177" s="7" t="str">
        <f>VLOOKUP(B177,students!$B$2:$I$197,2,0)</f>
        <v>22EC111</v>
      </c>
      <c r="D177" s="7" t="str">
        <f>VLOOKUP(B177,students!$B$2:$I$197,3,0)</f>
        <v>Nguyễn Thái Thanh</v>
      </c>
      <c r="E177" s="7" t="str">
        <f>VLOOKUP(B177,students!$B$2:$I$197,4,0)</f>
        <v>Bình</v>
      </c>
      <c r="F177" s="15">
        <f>VLOOKUP(B177,students!$B$2:$I$197,7,0)</f>
        <v>347279839</v>
      </c>
      <c r="G177" s="9" t="str">
        <f>if(ISNA(VLOOKUP(B177,F_DangKiGiaoVien!$C$2:$Q999,2,0)),"Chưa ĐK","Đã ĐK")</f>
        <v>Đã ĐK</v>
      </c>
      <c r="H177" s="9" t="str">
        <f>if(ISNA(VLOOKUP(B177,F_DangKiGiaoVien!$C$2:$Q999,5,0)),"",VLOOKUP(B177,F_DangKiGiaoVien!$C$2:$Q999,5,0))</f>
        <v>Thực hiện đồ án tốt nghiệp</v>
      </c>
      <c r="I177" s="9" t="str">
        <f>if(ISNA(VLOOKUP(B177,F_DangKiGiaoVien!$C$2:$Q999,2,0)),"",VLOOKUP(B177,F_DangKiGiaoVien!$C$2:$Q999,6,0))</f>
        <v>Trần Thị Diệu Hiền</v>
      </c>
      <c r="J177" s="1" t="s">
        <v>392</v>
      </c>
      <c r="K177" s="9" t="str">
        <f>if(ISNA(VLOOKUP(B177,F_DangKiGiaoVien!$C$2:$Q999,2,0)),"",VLOOKUP(B177,F_DangKiGiaoVien!$C$2:$Q999,8,0))</f>
        <v>MM Store</v>
      </c>
    </row>
    <row r="178">
      <c r="A178" s="7">
        <f t="shared" si="1"/>
        <v>177</v>
      </c>
      <c r="B178" s="5">
        <v>1.22001259E8</v>
      </c>
      <c r="C178" s="7" t="str">
        <f>VLOOKUP(B178,students!$B$2:$I$197,2,0)</f>
        <v>22EC111</v>
      </c>
      <c r="D178" s="7" t="str">
        <f>VLOOKUP(B178,students!$B$2:$I$197,3,0)</f>
        <v>Vũ Quốc</v>
      </c>
      <c r="E178" s="7" t="str">
        <f>VLOOKUP(B178,students!$B$2:$I$197,4,0)</f>
        <v>Đạt</v>
      </c>
      <c r="F178" s="15">
        <f>VLOOKUP(B178,students!$B$2:$I$197,7,0)</f>
        <v>868879933</v>
      </c>
      <c r="G178" s="1" t="s">
        <v>394</v>
      </c>
      <c r="H178" s="1" t="s">
        <v>395</v>
      </c>
      <c r="I178" s="1" t="s">
        <v>396</v>
      </c>
      <c r="J178" s="1" t="s">
        <v>392</v>
      </c>
      <c r="K178" s="1" t="s">
        <v>398</v>
      </c>
    </row>
    <row r="179">
      <c r="A179" s="7">
        <f t="shared" si="1"/>
        <v>178</v>
      </c>
      <c r="B179" s="5">
        <v>1.2200115E8</v>
      </c>
      <c r="C179" s="7" t="str">
        <f>VLOOKUP(B179,students!$B$2:$I$197,2,0)</f>
        <v>22EC111</v>
      </c>
      <c r="D179" s="7" t="str">
        <f>VLOOKUP(B179,students!$B$2:$I$197,3,0)</f>
        <v>Nguyễn Thị Thanh</v>
      </c>
      <c r="E179" s="7" t="str">
        <f>VLOOKUP(B179,students!$B$2:$I$197,4,0)</f>
        <v>Hà</v>
      </c>
      <c r="F179" s="15">
        <f>VLOOKUP(B179,students!$B$2:$I$197,7,0)</f>
        <v>342194283</v>
      </c>
      <c r="G179" s="9" t="str">
        <f>if(ISNA(VLOOKUP(B179,F_DangKiGiaoVien!$C$2:$Q999,2,0)),"Chưa ĐK","Đã ĐK")</f>
        <v>Đã ĐK</v>
      </c>
      <c r="H179" s="9" t="str">
        <f>if(ISNA(VLOOKUP(B179,F_DangKiGiaoVien!$C$2:$Q999,5,0)),"",VLOOKUP(B179,F_DangKiGiaoVien!$C$2:$Q999,5,0))</f>
        <v>Thực hiện đồ án tốt nghiệp</v>
      </c>
      <c r="I179" s="9" t="str">
        <f>if(ISNA(VLOOKUP(B179,F_DangKiGiaoVien!$C$2:$Q999,2,0)),"",VLOOKUP(B179,F_DangKiGiaoVien!$C$2:$Q999,6,0))</f>
        <v>Bùi Xuân Cảnh</v>
      </c>
      <c r="J179" s="1" t="s">
        <v>392</v>
      </c>
      <c r="K179" s="9" t="str">
        <f>if(ISNA(VLOOKUP(B179,F_DangKiGiaoVien!$C$2:$Q999,2,0)),"",VLOOKUP(B179,F_DangKiGiaoVien!$C$2:$Q999,8,0))</f>
        <v>Ứng dụng thương mại điện tử trong xây dựng website và mô hình startup Hộp quà tặng cá nhân hóa</v>
      </c>
    </row>
    <row r="180">
      <c r="A180" s="7">
        <f t="shared" si="1"/>
        <v>179</v>
      </c>
      <c r="B180" s="5">
        <v>1.22000728E8</v>
      </c>
      <c r="C180" s="7" t="str">
        <f>VLOOKUP(B180,students!$B$2:$I$197,2,0)</f>
        <v>22EC111</v>
      </c>
      <c r="D180" s="7" t="str">
        <f>VLOOKUP(B180,students!$B$2:$I$197,3,0)</f>
        <v>Biện Lê Bảo</v>
      </c>
      <c r="E180" s="7" t="str">
        <f>VLOOKUP(B180,students!$B$2:$I$197,4,0)</f>
        <v>Hân</v>
      </c>
      <c r="F180" s="15">
        <f>VLOOKUP(B180,students!$B$2:$I$197,7,0)</f>
        <v>918639626</v>
      </c>
      <c r="G180" s="9" t="str">
        <f>if(ISNA(VLOOKUP(B180,F_DangKiGiaoVien!$C$2:$Q999,2,0)),"Chưa ĐK","Đã ĐK")</f>
        <v>Đã ĐK</v>
      </c>
      <c r="H180" s="9" t="str">
        <f>if(ISNA(VLOOKUP(B180,F_DangKiGiaoVien!$C$2:$Q999,5,0)),"",VLOOKUP(B180,F_DangKiGiaoVien!$C$2:$Q999,5,0))</f>
        <v>Thực hiện đồ án tốt nghiệp</v>
      </c>
      <c r="I180" s="9" t="str">
        <f>if(ISNA(VLOOKUP(B180,F_DangKiGiaoVien!$C$2:$Q999,2,0)),"",VLOOKUP(B180,F_DangKiGiaoVien!$C$2:$Q999,6,0))</f>
        <v>Hồ Ngọc Hoàng Long</v>
      </c>
      <c r="J180" s="1" t="s">
        <v>392</v>
      </c>
      <c r="K180" s="1" t="s">
        <v>399</v>
      </c>
    </row>
    <row r="181">
      <c r="A181" s="7">
        <f t="shared" si="1"/>
        <v>180</v>
      </c>
      <c r="B181" s="5">
        <v>1.22001526E8</v>
      </c>
      <c r="C181" s="7" t="str">
        <f>VLOOKUP(B181,students!$B$2:$I$197,2,0)</f>
        <v>22EC111</v>
      </c>
      <c r="D181" s="7" t="str">
        <f>VLOOKUP(B181,students!$B$2:$I$197,3,0)</f>
        <v>Lồng Khánh</v>
      </c>
      <c r="E181" s="7" t="str">
        <f>VLOOKUP(B181,students!$B$2:$I$197,4,0)</f>
        <v>Hòa</v>
      </c>
      <c r="F181" s="15">
        <f>VLOOKUP(B181,students!$B$2:$I$197,7,0)</f>
        <v>868373842</v>
      </c>
      <c r="G181" s="9" t="str">
        <f>if(ISNA(VLOOKUP(B181,F_DangKiGiaoVien!$C$2:$Q999,2,0)),"Chưa ĐK","Đã ĐK")</f>
        <v>Đã ĐK</v>
      </c>
      <c r="H181" s="9" t="str">
        <f>if(ISNA(VLOOKUP(B181,F_DangKiGiaoVien!$C$2:$Q999,5,0)),"",VLOOKUP(B181,F_DangKiGiaoVien!$C$2:$Q999,5,0))</f>
        <v>Thực hiện đồ án tốt nghiệp</v>
      </c>
      <c r="I181" s="9" t="str">
        <f>if(ISNA(VLOOKUP(B181,F_DangKiGiaoVien!$C$2:$Q999,2,0)),"",VLOOKUP(B181,F_DangKiGiaoVien!$C$2:$Q999,6,0))</f>
        <v>Bùi Thị Thu Trang</v>
      </c>
      <c r="J181" s="1" t="s">
        <v>392</v>
      </c>
      <c r="K181" s="9" t="str">
        <f>if(ISNA(VLOOKUP(B181,F_DangKiGiaoVien!$C$2:$Q999,2,0)),"",VLOOKUP(B181,F_DangKiGiaoVien!$C$2:$Q999,8,0))</f>
        <v>Tath Hoạt Hình</v>
      </c>
    </row>
    <row r="182">
      <c r="A182" s="7">
        <f t="shared" si="1"/>
        <v>181</v>
      </c>
      <c r="B182" s="5">
        <v>1.22000056E8</v>
      </c>
      <c r="C182" s="7" t="str">
        <f>VLOOKUP(B182,students!$B$2:$I$197,2,0)</f>
        <v>22EC111</v>
      </c>
      <c r="D182" s="7" t="str">
        <f>VLOOKUP(B182,students!$B$2:$I$197,3,0)</f>
        <v>Nguyễn Mai Minh</v>
      </c>
      <c r="E182" s="7" t="str">
        <f>VLOOKUP(B182,students!$B$2:$I$197,4,0)</f>
        <v>Hoàng</v>
      </c>
      <c r="F182" s="15">
        <f>VLOOKUP(B182,students!$B$2:$I$197,7,0)</f>
        <v>947339279</v>
      </c>
      <c r="G182" s="9" t="str">
        <f>if(ISNA(VLOOKUP(B182,F_DangKiGiaoVien!$C$2:$Q999,2,0)),"Chưa ĐK","Đã ĐK")</f>
        <v>Đã ĐK</v>
      </c>
      <c r="H182" s="9" t="str">
        <f>if(ISNA(VLOOKUP(B182,F_DangKiGiaoVien!$C$2:$Q999,5,0)),"",VLOOKUP(B182,F_DangKiGiaoVien!$C$2:$Q999,5,0))</f>
        <v>Thực hiện đồ án tốt nghiệp</v>
      </c>
      <c r="I182" s="9" t="str">
        <f>if(ISNA(VLOOKUP(B182,F_DangKiGiaoVien!$C$2:$Q999,2,0)),"",VLOOKUP(B182,F_DangKiGiaoVien!$C$2:$Q999,6,0))</f>
        <v>Hồ Ngọc Hoàng Long</v>
      </c>
      <c r="J182" s="1" t="s">
        <v>392</v>
      </c>
      <c r="K182" s="9" t="str">
        <f>if(ISNA(VLOOKUP(B182,F_DangKiGiaoVien!$C$2:$Q999,2,0)),"",VLOOKUP(B182,F_DangKiGiaoVien!$C$2:$Q999,8,0))</f>
        <v>Triển khai mô hình kinh doanh online cho cửa hàng đồ ăn vặt chú Mập</v>
      </c>
    </row>
    <row r="183">
      <c r="A183" s="7">
        <f t="shared" si="1"/>
        <v>182</v>
      </c>
      <c r="B183" s="5">
        <v>1.22000611E8</v>
      </c>
      <c r="C183" s="7" t="str">
        <f>VLOOKUP(B183,students!$B$2:$I$197,2,0)</f>
        <v>22EC111</v>
      </c>
      <c r="D183" s="7" t="str">
        <f>VLOOKUP(B183,students!$B$2:$I$197,3,0)</f>
        <v>Đinh Thị Thanh</v>
      </c>
      <c r="E183" s="7" t="str">
        <f>VLOOKUP(B183,students!$B$2:$I$197,4,0)</f>
        <v>Hương</v>
      </c>
      <c r="F183" s="15">
        <f>VLOOKUP(B183,students!$B$2:$I$197,7,0)</f>
        <v>373681914</v>
      </c>
      <c r="G183" s="9" t="str">
        <f>if(ISNA(VLOOKUP(B183,F_DangKiGiaoVien!$C$2:$Q999,2,0)),"Chưa ĐK","Đã ĐK")</f>
        <v>Đã ĐK</v>
      </c>
      <c r="H183" s="9" t="str">
        <f>if(ISNA(VLOOKUP(B183,F_DangKiGiaoVien!$C$2:$Q999,5,0)),"",VLOOKUP(B183,F_DangKiGiaoVien!$C$2:$Q999,5,0))</f>
        <v>Thực hiện đồ án tốt nghiệp</v>
      </c>
      <c r="I183" s="9" t="str">
        <f>if(ISNA(VLOOKUP(B183,F_DangKiGiaoVien!$C$2:$Q999,2,0)),"",VLOOKUP(B183,F_DangKiGiaoVien!$C$2:$Q999,6,0))</f>
        <v>Bùi Thị Thu Trang</v>
      </c>
      <c r="J183" s="1" t="s">
        <v>392</v>
      </c>
      <c r="K183" s="9" t="str">
        <f>if(ISNA(VLOOKUP(B183,F_DangKiGiaoVien!$C$2:$Q999,2,0)),"",VLOOKUP(B183,F_DangKiGiaoVien!$C$2:$Q999,8,0))</f>
        <v>Xây dựng website thương mại điện tử cho shop thời trang trẻ em</v>
      </c>
    </row>
    <row r="184">
      <c r="A184" s="7">
        <f t="shared" si="1"/>
        <v>183</v>
      </c>
      <c r="B184" s="5">
        <v>1.22000284E8</v>
      </c>
      <c r="C184" s="7" t="str">
        <f>VLOOKUP(B184,students!$B$2:$I$197,2,0)</f>
        <v>22EC111</v>
      </c>
      <c r="D184" s="7" t="str">
        <f>VLOOKUP(B184,students!$B$2:$I$197,3,0)</f>
        <v>Phạm Duy</v>
      </c>
      <c r="E184" s="7" t="str">
        <f>VLOOKUP(B184,students!$B$2:$I$197,4,0)</f>
        <v>Kiên</v>
      </c>
      <c r="F184" s="15">
        <f>VLOOKUP(B184,students!$B$2:$I$197,7,0)</f>
        <v>339746902</v>
      </c>
      <c r="G184" s="9" t="str">
        <f>if(ISNA(VLOOKUP(B184,F_DangKiGiaoVien!$C$2:$Q999,2,0)),"Chưa ĐK","Đã ĐK")</f>
        <v>Đã ĐK</v>
      </c>
      <c r="H184" s="9" t="str">
        <f>if(ISNA(VLOOKUP(B184,F_DangKiGiaoVien!$C$2:$Q999,5,0)),"",VLOOKUP(B184,F_DangKiGiaoVien!$C$2:$Q999,5,0))</f>
        <v>Thực hiện đồ án tốt nghiệp</v>
      </c>
      <c r="I184" s="9" t="str">
        <f>if(ISNA(VLOOKUP(B184,F_DangKiGiaoVien!$C$2:$Q999,2,0)),"",VLOOKUP(B184,F_DangKiGiaoVien!$C$2:$Q999,6,0))</f>
        <v>Trần Thị Diệu Hiền</v>
      </c>
      <c r="J184" s="1" t="s">
        <v>392</v>
      </c>
      <c r="K184" s="9" t="str">
        <f>if(ISNA(VLOOKUP(B184,F_DangKiGiaoVien!$C$2:$Q999,2,0)),"",VLOOKUP(B184,F_DangKiGiaoVien!$C$2:$Q999,8,0))</f>
        <v>Xây dựng website kinh doanh văn phòng phẩm trực tuyến</v>
      </c>
    </row>
    <row r="185">
      <c r="A185" s="7">
        <f t="shared" si="1"/>
        <v>184</v>
      </c>
      <c r="B185" s="5">
        <v>1.22000416E8</v>
      </c>
      <c r="C185" s="7" t="str">
        <f>VLOOKUP(B185,students!$B$2:$I$197,2,0)</f>
        <v>22EC111</v>
      </c>
      <c r="D185" s="7" t="str">
        <f>VLOOKUP(B185,students!$B$2:$I$197,3,0)</f>
        <v>Nguyễn Hữu</v>
      </c>
      <c r="E185" s="7" t="str">
        <f>VLOOKUP(B185,students!$B$2:$I$197,4,0)</f>
        <v>Lộc</v>
      </c>
      <c r="F185" s="15">
        <f>VLOOKUP(B185,students!$B$2:$I$197,7,0)</f>
        <v>372517173</v>
      </c>
      <c r="G185" s="9" t="str">
        <f>if(ISNA(VLOOKUP(B185,F_DangKiGiaoVien!$C$2:$Q999,2,0)),"Chưa ĐK","Đã ĐK")</f>
        <v>Đã ĐK</v>
      </c>
      <c r="H185" s="9" t="str">
        <f>if(ISNA(VLOOKUP(B185,F_DangKiGiaoVien!$C$2:$Q999,5,0)),"",VLOOKUP(B185,F_DangKiGiaoVien!$C$2:$Q999,5,0))</f>
        <v>Thực hiện đồ án tốt nghiệp</v>
      </c>
      <c r="I185" s="1" t="s">
        <v>400</v>
      </c>
      <c r="J185" s="1" t="s">
        <v>392</v>
      </c>
      <c r="K185" s="9" t="str">
        <f>if(ISNA(VLOOKUP(B185,F_DangKiGiaoVien!$C$2:$Q999,2,0)),"",VLOOKUP(B185,F_DangKiGiaoVien!$C$2:$Q999,8,0))</f>
        <v>Đồ án Website Tiếp thị liên kết TikTok Shop</v>
      </c>
    </row>
    <row r="186">
      <c r="A186" s="7">
        <f t="shared" si="1"/>
        <v>185</v>
      </c>
      <c r="B186" s="5">
        <v>1.22000286E8</v>
      </c>
      <c r="C186" s="7" t="str">
        <f>VLOOKUP(B186,students!$B$2:$I$197,2,0)</f>
        <v>22EC111</v>
      </c>
      <c r="D186" s="7" t="str">
        <f>VLOOKUP(B186,students!$B$2:$I$197,3,0)</f>
        <v>Phạm Khánh</v>
      </c>
      <c r="E186" s="7" t="str">
        <f>VLOOKUP(B186,students!$B$2:$I$197,4,0)</f>
        <v>Minh</v>
      </c>
      <c r="F186" s="15">
        <f>VLOOKUP(B186,students!$B$2:$I$197,7,0)</f>
        <v>792538899</v>
      </c>
      <c r="G186" s="9" t="str">
        <f>if(ISNA(VLOOKUP(B186,F_DangKiGiaoVien!$C$2:$Q999,2,0)),"Chưa ĐK","Đã ĐK")</f>
        <v>Đã ĐK</v>
      </c>
      <c r="H186" s="9" t="str">
        <f>if(ISNA(VLOOKUP(B186,F_DangKiGiaoVien!$C$2:$Q999,5,0)),"",VLOOKUP(B186,F_DangKiGiaoVien!$C$2:$Q999,5,0))</f>
        <v>Thực hiện đồ án tốt nghiệp</v>
      </c>
      <c r="I186" s="9" t="str">
        <f>if(ISNA(VLOOKUP(B186,F_DangKiGiaoVien!$C$2:$Q999,2,0)),"",VLOOKUP(B186,F_DangKiGiaoVien!$C$2:$Q999,6,0))</f>
        <v>Bùi Thị Thu Trang</v>
      </c>
      <c r="J186" s="1" t="s">
        <v>392</v>
      </c>
      <c r="K186" s="9" t="str">
        <f>if(ISNA(VLOOKUP(B186,F_DangKiGiaoVien!$C$2:$Q999,2,0)),"",VLOOKUP(B186,F_DangKiGiaoVien!$C$2:$Q999,8,0))</f>
        <v>Xây dựng website thương mại điện tử và phân tích hành vi người tiêu dùng đối với sản phẩm cà phê sạch – Trường hợp thương hiệu The Bundy</v>
      </c>
    </row>
    <row r="187">
      <c r="A187" s="7">
        <f t="shared" si="1"/>
        <v>186</v>
      </c>
      <c r="B187" s="5">
        <v>1.22000406E8</v>
      </c>
      <c r="C187" s="7" t="str">
        <f>VLOOKUP(B187,students!$B$2:$I$197,2,0)</f>
        <v>22EC111</v>
      </c>
      <c r="D187" s="7" t="str">
        <f>VLOOKUP(B187,students!$B$2:$I$197,3,0)</f>
        <v>Nguyễn Hoàng Phương</v>
      </c>
      <c r="E187" s="7" t="str">
        <f>VLOOKUP(B187,students!$B$2:$I$197,4,0)</f>
        <v>Ngân</v>
      </c>
      <c r="F187" s="15">
        <f>VLOOKUP(B187,students!$B$2:$I$197,7,0)</f>
        <v>798120504</v>
      </c>
      <c r="G187" s="9" t="str">
        <f>if(ISNA(VLOOKUP(B187,F_DangKiGiaoVien!$C$2:$Q999,2,0)),"Chưa ĐK","Đã ĐK")</f>
        <v>Đã ĐK</v>
      </c>
      <c r="H187" s="9" t="str">
        <f>if(ISNA(VLOOKUP(B187,F_DangKiGiaoVien!$C$2:$Q999,5,0)),"",VLOOKUP(B187,F_DangKiGiaoVien!$C$2:$Q999,5,0))</f>
        <v>Thực hiện đồ án tốt nghiệp</v>
      </c>
      <c r="I187" s="9" t="str">
        <f>if(ISNA(VLOOKUP(B187,F_DangKiGiaoVien!$C$2:$Q999,2,0)),"",VLOOKUP(B187,F_DangKiGiaoVien!$C$2:$Q999,6,0))</f>
        <v>Hồ Ngọc Hoàng Long</v>
      </c>
      <c r="J187" s="1" t="s">
        <v>392</v>
      </c>
      <c r="K187" s="1" t="s">
        <v>401</v>
      </c>
    </row>
    <row r="188">
      <c r="A188" s="7">
        <f t="shared" si="1"/>
        <v>187</v>
      </c>
      <c r="B188" s="5">
        <v>1.22001043E8</v>
      </c>
      <c r="C188" s="7" t="str">
        <f>VLOOKUP(B188,students!$B$2:$I$197,2,0)</f>
        <v>22EC111</v>
      </c>
      <c r="D188" s="7" t="str">
        <f>VLOOKUP(B188,students!$B$2:$I$197,3,0)</f>
        <v>Lê Thị Minh</v>
      </c>
      <c r="E188" s="7" t="str">
        <f>VLOOKUP(B188,students!$B$2:$I$197,4,0)</f>
        <v>Nguyệt</v>
      </c>
      <c r="F188" s="15">
        <f>VLOOKUP(B188,students!$B$2:$I$197,7,0)</f>
        <v>338208209</v>
      </c>
      <c r="G188" s="9" t="str">
        <f>if(ISNA(VLOOKUP(B188,F_DangKiGiaoVien!$C$2:$Q999,2,0)),"Chưa ĐK","Đã ĐK")</f>
        <v>Đã ĐK</v>
      </c>
      <c r="H188" s="9" t="str">
        <f>if(ISNA(VLOOKUP(B188,F_DangKiGiaoVien!$C$2:$Q999,5,0)),"",VLOOKUP(B188,F_DangKiGiaoVien!$C$2:$Q999,5,0))</f>
        <v>Thực hiện đồ án tốt nghiệp</v>
      </c>
      <c r="I188" s="9" t="str">
        <f>if(ISNA(VLOOKUP(B188,F_DangKiGiaoVien!$C$2:$Q999,2,0)),"",VLOOKUP(B188,F_DangKiGiaoVien!$C$2:$Q999,6,0))</f>
        <v>Hồ Ngọc Hoàng Long</v>
      </c>
      <c r="J188" s="1" t="s">
        <v>392</v>
      </c>
      <c r="K188" s="9" t="str">
        <f>if(ISNA(VLOOKUP(B188,F_DangKiGiaoVien!$C$2:$Q999,2,0)),"",VLOOKUP(B188,F_DangKiGiaoVien!$C$2:$Q999,8,0))</f>
        <v>Bán hàng online</v>
      </c>
    </row>
    <row r="189">
      <c r="A189" s="7">
        <f t="shared" si="1"/>
        <v>188</v>
      </c>
      <c r="B189" s="5">
        <v>1.22001008E8</v>
      </c>
      <c r="C189" s="7" t="str">
        <f>VLOOKUP(B189,students!$B$2:$I$197,2,0)</f>
        <v>22EC111</v>
      </c>
      <c r="D189" s="7" t="str">
        <f>VLOOKUP(B189,students!$B$2:$I$197,3,0)</f>
        <v>Nguyễn Minh</v>
      </c>
      <c r="E189" s="7" t="str">
        <f>VLOOKUP(B189,students!$B$2:$I$197,4,0)</f>
        <v>Thuận</v>
      </c>
      <c r="F189" s="15">
        <f>VLOOKUP(B189,students!$B$2:$I$197,7,0)</f>
        <v>862286910</v>
      </c>
      <c r="G189" s="9" t="str">
        <f>if(ISNA(VLOOKUP(B189,F_DangKiGiaoVien!$C$2:$Q999,2,0)),"Chưa ĐK","Đã ĐK")</f>
        <v>Đã ĐK</v>
      </c>
      <c r="H189" s="9" t="str">
        <f>if(ISNA(VLOOKUP(B189,F_DangKiGiaoVien!$C$2:$Q999,5,0)),"",VLOOKUP(B189,F_DangKiGiaoVien!$C$2:$Q999,5,0))</f>
        <v>Thực hiện đồ án tốt nghiệp</v>
      </c>
      <c r="I189" s="9" t="str">
        <f>if(ISNA(VLOOKUP(B189,F_DangKiGiaoVien!$C$2:$Q999,2,0)),"",VLOOKUP(B189,F_DangKiGiaoVien!$C$2:$Q999,6,0))</f>
        <v>Trần Thị Diệu Hiền</v>
      </c>
      <c r="J189" s="1" t="s">
        <v>392</v>
      </c>
      <c r="K189" s="9" t="str">
        <f>if(ISNA(VLOOKUP(B189,F_DangKiGiaoVien!$C$2:$Q999,2,0)),"",VLOOKUP(B189,F_DangKiGiaoVien!$C$2:$Q999,8,0))</f>
        <v>Xây dựng và triển khai hệ thống sàn thương mại điện tử đa nhà bán cho thuê nhà trọ sinh viên tại khu vực Bửu Long – Biên Hòa</v>
      </c>
    </row>
    <row r="190">
      <c r="A190" s="7">
        <f t="shared" si="1"/>
        <v>189</v>
      </c>
      <c r="B190" s="5">
        <v>1.22000859E8</v>
      </c>
      <c r="C190" s="7" t="str">
        <f>VLOOKUP(B190,students!$B$2:$I$197,2,0)</f>
        <v>22EC111</v>
      </c>
      <c r="D190" s="7" t="str">
        <f>VLOOKUP(B190,students!$B$2:$I$197,3,0)</f>
        <v>Vi Hoài</v>
      </c>
      <c r="E190" s="7" t="str">
        <f>VLOOKUP(B190,students!$B$2:$I$197,4,0)</f>
        <v>Thương</v>
      </c>
      <c r="F190" s="15">
        <f>VLOOKUP(B190,students!$B$2:$I$197,7,0)</f>
        <v>919609189</v>
      </c>
      <c r="G190" s="9" t="str">
        <f>if(ISNA(VLOOKUP(B190,F_DangKiGiaoVien!$C$2:$Q999,2,0)),"Chưa ĐK","Đã ĐK")</f>
        <v>Đã ĐK</v>
      </c>
      <c r="H190" s="9" t="str">
        <f>if(ISNA(VLOOKUP(B190,F_DangKiGiaoVien!$C$2:$Q999,5,0)),"",VLOOKUP(B190,F_DangKiGiaoVien!$C$2:$Q999,5,0))</f>
        <v>Đặc cách tốt nghiệp</v>
      </c>
      <c r="I190" s="9" t="str">
        <f>if(ISNA(VLOOKUP(B190,F_DangKiGiaoVien!$C$2:$Q999,2,0)),"",VLOOKUP(B190,F_DangKiGiaoVien!$C$2:$Q999,6,0))</f>
        <v/>
      </c>
      <c r="J190" s="9"/>
      <c r="K190" s="9" t="str">
        <f>if(ISNA(VLOOKUP(B190,F_DangKiGiaoVien!$C$2:$Q999,2,0)),"",VLOOKUP(B190,F_DangKiGiaoVien!$C$2:$Q999,8,0))</f>
        <v/>
      </c>
    </row>
    <row r="191">
      <c r="A191" s="7">
        <f t="shared" si="1"/>
        <v>190</v>
      </c>
      <c r="B191" s="5">
        <v>1.22001384E8</v>
      </c>
      <c r="C191" s="7" t="str">
        <f>VLOOKUP(B191,students!$B$2:$I$197,2,0)</f>
        <v>22EC111</v>
      </c>
      <c r="D191" s="7" t="str">
        <f>VLOOKUP(B191,students!$B$2:$I$197,3,0)</f>
        <v>Lê Trần Mai</v>
      </c>
      <c r="E191" s="7" t="str">
        <f>VLOOKUP(B191,students!$B$2:$I$197,4,0)</f>
        <v>Thy</v>
      </c>
      <c r="F191" s="15">
        <f>VLOOKUP(B191,students!$B$2:$I$197,7,0)</f>
        <v>368740633</v>
      </c>
      <c r="G191" s="9" t="str">
        <f>if(ISNA(VLOOKUP(B191,F_DangKiGiaoVien!$C$2:$Q999,2,0)),"Chưa ĐK","Đã ĐK")</f>
        <v>Đã ĐK</v>
      </c>
      <c r="H191" s="9" t="str">
        <f>if(ISNA(VLOOKUP(B191,F_DangKiGiaoVien!$C$2:$Q999,5,0)),"",VLOOKUP(B191,F_DangKiGiaoVien!$C$2:$Q999,5,0))</f>
        <v>Thực hiện đồ án tốt nghiệp</v>
      </c>
      <c r="I191" s="9" t="str">
        <f>if(ISNA(VLOOKUP(B191,F_DangKiGiaoVien!$C$2:$Q999,2,0)),"",VLOOKUP(B191,F_DangKiGiaoVien!$C$2:$Q999,6,0))</f>
        <v>Bùi Thị Thu Trang</v>
      </c>
      <c r="J191" s="1" t="s">
        <v>392</v>
      </c>
      <c r="K191" s="9" t="str">
        <f>if(ISNA(VLOOKUP(B191,F_DangKiGiaoVien!$C$2:$Q999,2,0)),"",VLOOKUP(B191,F_DangKiGiaoVien!$C$2:$Q999,8,0))</f>
        <v>Xây dựng website kinh doanh phụ kiện thời trang</v>
      </c>
    </row>
    <row r="192">
      <c r="A192" s="7">
        <f t="shared" si="1"/>
        <v>191</v>
      </c>
      <c r="B192" s="5">
        <v>1.22001292E8</v>
      </c>
      <c r="C192" s="7" t="str">
        <f>VLOOKUP(B192,students!$B$2:$I$197,2,0)</f>
        <v>22EC111</v>
      </c>
      <c r="D192" s="7" t="str">
        <f>VLOOKUP(B192,students!$B$2:$I$197,3,0)</f>
        <v>Nguyễn Ngọc Thủy</v>
      </c>
      <c r="E192" s="7" t="str">
        <f>VLOOKUP(B192,students!$B$2:$I$197,4,0)</f>
        <v>Tiên</v>
      </c>
      <c r="F192" s="15">
        <f>VLOOKUP(B192,students!$B$2:$I$197,7,0)</f>
        <v>356972425</v>
      </c>
      <c r="G192" s="9" t="str">
        <f>if(ISNA(VLOOKUP(B192,F_DangKiGiaoVien!$C$2:$Q999,2,0)),"Chưa ĐK","Đã ĐK")</f>
        <v>Đã ĐK</v>
      </c>
      <c r="H192" s="9" t="str">
        <f>if(ISNA(VLOOKUP(B192,F_DangKiGiaoVien!$C$2:$Q999,5,0)),"",VLOOKUP(B192,F_DangKiGiaoVien!$C$2:$Q999,5,0))</f>
        <v>Thực hiện đồ án tốt nghiệp</v>
      </c>
      <c r="I192" s="9" t="str">
        <f>if(ISNA(VLOOKUP(B192,F_DangKiGiaoVien!$C$2:$Q999,2,0)),"",VLOOKUP(B192,F_DangKiGiaoVien!$C$2:$Q999,6,0))</f>
        <v>Hồ Ngọc Hoàng Long</v>
      </c>
      <c r="J192" s="1" t="s">
        <v>392</v>
      </c>
      <c r="K192" s="9" t="str">
        <f>if(ISNA(VLOOKUP(B192,F_DangKiGiaoVien!$C$2:$Q999,2,0)),"",VLOOKUP(B192,F_DangKiGiaoVien!$C$2:$Q999,8,0))</f>
        <v>Triển khai mô hình kinh doanh online cho cửa hàng dầu nhớt</v>
      </c>
    </row>
    <row r="193">
      <c r="A193" s="7">
        <f t="shared" si="1"/>
        <v>192</v>
      </c>
      <c r="B193" s="5">
        <v>1.22001411E8</v>
      </c>
      <c r="C193" s="7" t="str">
        <f>VLOOKUP(B193,students!$B$2:$I$197,2,0)</f>
        <v>22EC111</v>
      </c>
      <c r="D193" s="7" t="str">
        <f>VLOOKUP(B193,students!$B$2:$I$197,3,0)</f>
        <v>Đỗ Đặng Thùy</v>
      </c>
      <c r="E193" s="7" t="str">
        <f>VLOOKUP(B193,students!$B$2:$I$197,4,0)</f>
        <v>Trang</v>
      </c>
      <c r="F193" s="15">
        <f>VLOOKUP(B193,students!$B$2:$I$197,7,0)</f>
        <v>334127732</v>
      </c>
      <c r="G193" s="9" t="str">
        <f>if(ISNA(VLOOKUP(B193,F_DangKiGiaoVien!$C$2:$Q999,2,0)),"Chưa ĐK","Đã ĐK")</f>
        <v>Đã ĐK</v>
      </c>
      <c r="H193" s="9" t="str">
        <f>if(ISNA(VLOOKUP(B193,F_DangKiGiaoVien!$C$2:$Q999,5,0)),"",VLOOKUP(B193,F_DangKiGiaoVien!$C$2:$Q999,5,0))</f>
        <v>Thực hiện đồ án tốt nghiệp</v>
      </c>
      <c r="I193" s="9" t="str">
        <f>if(ISNA(VLOOKUP(B193,F_DangKiGiaoVien!$C$2:$Q999,2,0)),"",VLOOKUP(B193,F_DangKiGiaoVien!$C$2:$Q999,6,0))</f>
        <v>Bùi Xuân Cảnh</v>
      </c>
      <c r="J193" s="1" t="s">
        <v>392</v>
      </c>
      <c r="K193" s="9" t="str">
        <f>if(ISNA(VLOOKUP(B193,F_DangKiGiaoVien!$C$2:$Q999,2,0)),"",VLOOKUP(B193,F_DangKiGiaoVien!$C$2:$Q999,8,0))</f>
        <v>Ứng dụng thương mại điện tử trong xây dựng website và mô hình startup Hộp quà tặng cá nhân hóa</v>
      </c>
    </row>
    <row r="194">
      <c r="A194" s="7">
        <f t="shared" si="1"/>
        <v>193</v>
      </c>
      <c r="B194" s="5">
        <v>1.2200026E8</v>
      </c>
      <c r="C194" s="7" t="str">
        <f>VLOOKUP(B194,students!$B$2:$I$197,2,0)</f>
        <v>22EC111</v>
      </c>
      <c r="D194" s="7" t="str">
        <f>VLOOKUP(B194,students!$B$2:$I$197,3,0)</f>
        <v>Nguyễn Vũ Minh</v>
      </c>
      <c r="E194" s="7" t="str">
        <f>VLOOKUP(B194,students!$B$2:$I$197,4,0)</f>
        <v>Triết</v>
      </c>
      <c r="F194" s="15">
        <f>VLOOKUP(B194,students!$B$2:$I$197,7,0)</f>
        <v>704578067</v>
      </c>
      <c r="G194" s="9" t="str">
        <f>if(ISNA(VLOOKUP(B194,F_DangKiGiaoVien!$C$2:$Q999,2,0)),"Chưa ĐK","Đã ĐK")</f>
        <v>Đã ĐK</v>
      </c>
      <c r="H194" s="9" t="str">
        <f>if(ISNA(VLOOKUP(B194,F_DangKiGiaoVien!$C$2:$Q999,5,0)),"",VLOOKUP(B194,F_DangKiGiaoVien!$C$2:$Q999,5,0))</f>
        <v>Thực hiện đồ án tốt nghiệp</v>
      </c>
      <c r="I194" s="9" t="str">
        <f>if(ISNA(VLOOKUP(B194,F_DangKiGiaoVien!$C$2:$Q999,2,0)),"",VLOOKUP(B194,F_DangKiGiaoVien!$C$2:$Q999,6,0))</f>
        <v>Trần Thị Diệu Hiền</v>
      </c>
      <c r="J194" s="1" t="s">
        <v>392</v>
      </c>
      <c r="K194" s="9" t="str">
        <f>if(ISNA(VLOOKUP(B194,F_DangKiGiaoVien!$C$2:$Q999,2,0)),"",VLOOKUP(B194,F_DangKiGiaoVien!$C$2:$Q999,8,0))</f>
        <v>Xây dựng và triển khai hệ thống sàn thương mại điện tử đa nhà bán cho thuê nhà trọ sinh viên tại khu vực Bửu Long – Biên Hoà ( website/app).</v>
      </c>
    </row>
    <row r="195">
      <c r="A195" s="7">
        <f t="shared" si="1"/>
        <v>194</v>
      </c>
      <c r="B195" s="5">
        <v>1.22000188E8</v>
      </c>
      <c r="C195" s="7" t="str">
        <f>VLOOKUP(B195,students!$B$2:$I$197,2,0)</f>
        <v>22EC111</v>
      </c>
      <c r="D195" s="7" t="str">
        <f>VLOOKUP(B195,students!$B$2:$I$197,3,0)</f>
        <v>Trần Lữ Long</v>
      </c>
      <c r="E195" s="7" t="str">
        <f>VLOOKUP(B195,students!$B$2:$I$197,4,0)</f>
        <v>Vân</v>
      </c>
      <c r="F195" s="15">
        <f>VLOOKUP(B195,students!$B$2:$I$197,7,0)</f>
        <v>973269384</v>
      </c>
      <c r="G195" s="9" t="str">
        <f>if(ISNA(VLOOKUP(B195,F_DangKiGiaoVien!$C$2:$Q999,2,0)),"Chưa ĐK","Đã ĐK")</f>
        <v>Đã ĐK</v>
      </c>
      <c r="H195" s="9" t="str">
        <f>if(ISNA(VLOOKUP(B195,F_DangKiGiaoVien!$C$2:$Q999,5,0)),"",VLOOKUP(B195,F_DangKiGiaoVien!$C$2:$Q999,5,0))</f>
        <v>Thực hiện đồ án tốt nghiệp</v>
      </c>
      <c r="I195" s="9" t="str">
        <f>if(ISNA(VLOOKUP(B195,F_DangKiGiaoVien!$C$2:$Q999,2,0)),"",VLOOKUP(B195,F_DangKiGiaoVien!$C$2:$Q999,6,0))</f>
        <v>Trần Thị Diệu Hiền</v>
      </c>
      <c r="J195" s="1" t="s">
        <v>392</v>
      </c>
      <c r="K195" s="9" t="str">
        <f>if(ISNA(VLOOKUP(B195,F_DangKiGiaoVien!$C$2:$Q999,2,0)),"",VLOOKUP(B195,F_DangKiGiaoVien!$C$2:$Q999,8,0))</f>
        <v>Man May Store</v>
      </c>
    </row>
    <row r="196">
      <c r="A196" s="7">
        <f t="shared" si="1"/>
        <v>195</v>
      </c>
      <c r="B196" s="5">
        <v>1.22001256E8</v>
      </c>
      <c r="C196" s="7" t="str">
        <f>VLOOKUP(B196,students!$B$2:$I$197,2,0)</f>
        <v>22EC111</v>
      </c>
      <c r="D196" s="7" t="str">
        <f>VLOOKUP(B196,students!$B$2:$I$197,3,0)</f>
        <v>Nguyễn Thành</v>
      </c>
      <c r="E196" s="7" t="str">
        <f>VLOOKUP(B196,students!$B$2:$I$197,4,0)</f>
        <v>Vinh</v>
      </c>
      <c r="F196" s="15">
        <f>VLOOKUP(B196,students!$B$2:$I$197,7,0)</f>
        <v>348379672</v>
      </c>
      <c r="G196" s="9" t="str">
        <f>if(ISNA(VLOOKUP(B196,F_DangKiGiaoVien!$C$2:$Q999,2,0)),"Chưa ĐK","Đã ĐK")</f>
        <v>Đã ĐK</v>
      </c>
      <c r="H196" s="9" t="str">
        <f>if(ISNA(VLOOKUP(B196,F_DangKiGiaoVien!$C$2:$Q999,5,0)),"",VLOOKUP(B196,F_DangKiGiaoVien!$C$2:$Q999,5,0))</f>
        <v>Thực hiện đồ án tốt nghiệp</v>
      </c>
      <c r="I196" s="9" t="str">
        <f>if(ISNA(VLOOKUP(B196,F_DangKiGiaoVien!$C$2:$Q999,2,0)),"",VLOOKUP(B196,F_DangKiGiaoVien!$C$2:$Q999,6,0))</f>
        <v>Bùi Thị Thu Trang</v>
      </c>
      <c r="J196" s="1" t="s">
        <v>392</v>
      </c>
      <c r="K196" s="9" t="str">
        <f>if(ISNA(VLOOKUP(B196,F_DangKiGiaoVien!$C$2:$Q999,2,0)),"",VLOOKUP(B196,F_DangKiGiaoVien!$C$2:$Q999,8,0))</f>
        <v>PHÁT TRIỂN MỘT SỰ SỐNG XANH</v>
      </c>
    </row>
    <row r="197">
      <c r="A197" s="7">
        <f t="shared" si="1"/>
        <v>196</v>
      </c>
      <c r="B197" s="5">
        <v>1.22001353E8</v>
      </c>
      <c r="C197" s="7" t="str">
        <f>VLOOKUP(B197,students!$B$2:$I$197,2,0)</f>
        <v>22EC111</v>
      </c>
      <c r="D197" s="7" t="str">
        <f>VLOOKUP(B197,students!$B$2:$I$197,3,0)</f>
        <v>Tạ Thị Ngọc</v>
      </c>
      <c r="E197" s="7" t="str">
        <f>VLOOKUP(B197,students!$B$2:$I$197,4,0)</f>
        <v>Yến</v>
      </c>
      <c r="F197" s="15">
        <f>VLOOKUP(B197,students!$B$2:$I$197,7,0)</f>
        <v>968171387</v>
      </c>
      <c r="G197" s="9" t="str">
        <f>if(ISNA(VLOOKUP(B197,F_DangKiGiaoVien!$C$2:$Q999,2,0)),"Chưa ĐK","Đã ĐK")</f>
        <v>Đã ĐK</v>
      </c>
      <c r="H197" s="9" t="str">
        <f>if(ISNA(VLOOKUP(B197,F_DangKiGiaoVien!$C$2:$Q999,5,0)),"",VLOOKUP(B197,F_DangKiGiaoVien!$C$2:$Q999,5,0))</f>
        <v>Thực hiện đồ án tốt nghiệp</v>
      </c>
      <c r="I197" s="9" t="str">
        <f>if(ISNA(VLOOKUP(B197,F_DangKiGiaoVien!$C$2:$Q999,2,0)),"",VLOOKUP(B197,F_DangKiGiaoVien!$C$2:$Q999,6,0))</f>
        <v>Bùi Thị Thu Trang</v>
      </c>
      <c r="J197" s="1" t="s">
        <v>392</v>
      </c>
      <c r="K197" s="9" t="str">
        <f>if(ISNA(VLOOKUP(B197,F_DangKiGiaoVien!$C$2:$Q999,2,0)),"",VLOOKUP(B197,F_DangKiGiaoVien!$C$2:$Q999,8,0))</f>
        <v>Xây dựng website kinh doanh phụ kiện thời trang</v>
      </c>
    </row>
  </sheetData>
  <autoFilter ref="$I$1:$I$999"/>
  <dataValidations>
    <dataValidation type="list" allowBlank="1" showErrorMessage="1" sqref="J2:J197">
      <formula1>"Đồng ý,Không đồng ý"</formula1>
    </dataValidation>
    <dataValidation type="list" allowBlank="1" showErrorMessage="1" sqref="G2:G197">
      <formula1>"Chưa ĐK,Đã ĐK"</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75"/>
    <col customWidth="1" min="2" max="2" width="15.5"/>
    <col customWidth="1" min="3" max="3" width="17.63"/>
    <col customWidth="1" min="6" max="6" width="25.63"/>
    <col customWidth="1" min="7" max="8" width="16.13"/>
  </cols>
  <sheetData>
    <row r="1"/>
    <row r="2"/>
    <row r="3"/>
    <row r="4"/>
    <row r="5"/>
    <row r="6"/>
    <row r="7"/>
    <row r="8"/>
    <row r="9"/>
    <row r="15"/>
    <row r="16">
      <c r="C16" s="16"/>
      <c r="D16" s="16"/>
      <c r="E16" s="16"/>
      <c r="F16" s="16" t="s">
        <v>388</v>
      </c>
      <c r="G16" s="16" t="s">
        <v>406</v>
      </c>
      <c r="H16" s="16" t="s">
        <v>406</v>
      </c>
      <c r="I16" s="16"/>
      <c r="J16" s="16"/>
      <c r="K16" s="16"/>
      <c r="L16" s="16"/>
      <c r="M16" s="16"/>
      <c r="N16" s="16"/>
      <c r="O16" s="16"/>
      <c r="P16" s="16"/>
      <c r="Q16" s="16"/>
      <c r="R16" s="16"/>
      <c r="S16" s="16"/>
      <c r="T16" s="16"/>
      <c r="U16" s="16"/>
      <c r="V16" s="16"/>
      <c r="W16" s="16"/>
      <c r="X16" s="16"/>
      <c r="Y16" s="16"/>
      <c r="Z16" s="16"/>
    </row>
    <row r="17">
      <c r="F17" s="9"/>
      <c r="G17" s="9">
        <v>0.0</v>
      </c>
      <c r="H17" s="17">
        <v>0.0</v>
      </c>
    </row>
    <row r="18">
      <c r="F18" s="9" t="s">
        <v>407</v>
      </c>
      <c r="G18" s="9">
        <v>0.0</v>
      </c>
      <c r="H18" s="17">
        <v>0.0</v>
      </c>
    </row>
    <row r="19">
      <c r="F19" s="9" t="s">
        <v>408</v>
      </c>
      <c r="G19" s="9">
        <v>17.0</v>
      </c>
      <c r="H19" s="17">
        <v>0.13821138211382114</v>
      </c>
    </row>
    <row r="20">
      <c r="F20" s="18" t="s">
        <v>409</v>
      </c>
      <c r="G20" s="9">
        <v>13.0</v>
      </c>
      <c r="H20" s="17">
        <v>0.10569105691056911</v>
      </c>
    </row>
    <row r="21">
      <c r="F21" s="9" t="s">
        <v>410</v>
      </c>
      <c r="G21" s="9">
        <v>0.0</v>
      </c>
      <c r="H21" s="17">
        <v>0.0</v>
      </c>
    </row>
    <row r="22">
      <c r="F22" s="9" t="s">
        <v>411</v>
      </c>
      <c r="G22" s="9">
        <v>6.0</v>
      </c>
      <c r="H22" s="17">
        <v>0.04878048780487805</v>
      </c>
    </row>
    <row r="23">
      <c r="F23" s="9" t="s">
        <v>396</v>
      </c>
      <c r="G23" s="9">
        <v>11.0</v>
      </c>
      <c r="H23" s="17">
        <v>0.08943089430894309</v>
      </c>
    </row>
    <row r="24">
      <c r="F24" s="9" t="s">
        <v>412</v>
      </c>
      <c r="G24" s="9">
        <v>7.0</v>
      </c>
      <c r="H24" s="17">
        <v>0.056910569105691054</v>
      </c>
    </row>
    <row r="25">
      <c r="F25" s="9" t="s">
        <v>413</v>
      </c>
      <c r="G25" s="9">
        <v>1.0</v>
      </c>
      <c r="H25" s="17">
        <v>0.008130081300813009</v>
      </c>
    </row>
    <row r="26">
      <c r="F26" s="9" t="s">
        <v>414</v>
      </c>
      <c r="G26" s="9">
        <v>25.0</v>
      </c>
      <c r="H26" s="17">
        <v>0.2032520325203252</v>
      </c>
    </row>
    <row r="27">
      <c r="F27" s="9" t="s">
        <v>400</v>
      </c>
      <c r="G27" s="9">
        <v>6.0</v>
      </c>
      <c r="H27" s="17">
        <v>0.04878048780487805</v>
      </c>
    </row>
    <row r="28">
      <c r="F28" s="9" t="s">
        <v>415</v>
      </c>
      <c r="G28" s="9">
        <v>2.0</v>
      </c>
      <c r="H28" s="17">
        <v>0.016260162601626018</v>
      </c>
    </row>
    <row r="29">
      <c r="F29" s="9" t="s">
        <v>416</v>
      </c>
      <c r="G29" s="9">
        <v>4.0</v>
      </c>
      <c r="H29" s="17">
        <v>0.032520325203252036</v>
      </c>
    </row>
    <row r="30">
      <c r="F30" s="9" t="s">
        <v>417</v>
      </c>
      <c r="G30" s="9">
        <v>7.0</v>
      </c>
      <c r="H30" s="17">
        <v>0.056910569105691054</v>
      </c>
    </row>
    <row r="31">
      <c r="F31" s="9" t="s">
        <v>393</v>
      </c>
      <c r="G31" s="9">
        <v>9.0</v>
      </c>
      <c r="H31" s="17">
        <v>0.07317073170731707</v>
      </c>
    </row>
    <row r="32">
      <c r="F32" s="9" t="s">
        <v>419</v>
      </c>
      <c r="G32" s="9">
        <v>4.0</v>
      </c>
      <c r="H32" s="17">
        <v>0.032520325203252036</v>
      </c>
    </row>
    <row r="33">
      <c r="F33" s="9" t="s">
        <v>420</v>
      </c>
      <c r="G33" s="9">
        <v>5.0</v>
      </c>
      <c r="H33" s="17">
        <v>0.04065040650406504</v>
      </c>
    </row>
    <row r="34">
      <c r="F34" s="9" t="s">
        <v>421</v>
      </c>
      <c r="G34" s="9">
        <v>1.0</v>
      </c>
      <c r="H34" s="17">
        <v>0.008130081300813009</v>
      </c>
    </row>
    <row r="35">
      <c r="F35" s="9" t="s">
        <v>422</v>
      </c>
      <c r="G35" s="9">
        <v>1.0</v>
      </c>
      <c r="H35" s="17">
        <v>0.008130081300813009</v>
      </c>
    </row>
    <row r="36">
      <c r="F36" s="9" t="s">
        <v>423</v>
      </c>
      <c r="G36" s="9">
        <v>5.0</v>
      </c>
      <c r="H36" s="17">
        <v>0.04065040650406504</v>
      </c>
    </row>
    <row r="37">
      <c r="F37" s="9" t="s">
        <v>404</v>
      </c>
      <c r="G37" s="9">
        <v>123.0</v>
      </c>
      <c r="H37" s="17">
        <v>1.0</v>
      </c>
    </row>
    <row r="40">
      <c r="A40" s="9" t="s">
        <v>382</v>
      </c>
      <c r="B40" s="9" t="s">
        <v>406</v>
      </c>
    </row>
    <row r="41">
      <c r="A41" s="9" t="s">
        <v>9</v>
      </c>
      <c r="B41" s="9">
        <v>24.0</v>
      </c>
    </row>
    <row r="42">
      <c r="A42" s="9" t="s">
        <v>89</v>
      </c>
      <c r="B42" s="9">
        <v>16.0</v>
      </c>
    </row>
    <row r="43">
      <c r="A43" s="9" t="s">
        <v>159</v>
      </c>
      <c r="B43" s="9">
        <v>29.0</v>
      </c>
    </row>
    <row r="44">
      <c r="A44" s="9" t="s">
        <v>232</v>
      </c>
      <c r="B44" s="9">
        <v>24.0</v>
      </c>
    </row>
    <row r="45">
      <c r="A45" s="9" t="s">
        <v>291</v>
      </c>
      <c r="B45" s="9">
        <v>16.0</v>
      </c>
    </row>
    <row r="46">
      <c r="A46" s="9" t="s">
        <v>339</v>
      </c>
      <c r="B46" s="9">
        <v>19.0</v>
      </c>
    </row>
    <row r="47">
      <c r="A47" s="9" t="s">
        <v>404</v>
      </c>
      <c r="B47" s="9">
        <v>123.0</v>
      </c>
    </row>
  </sheetData>
  <drawing r:id="rId4"/>
</worksheet>
</file>